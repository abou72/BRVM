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tilisateur\PycharmProjects\BRVM CAP\"/>
    </mc:Choice>
  </mc:AlternateContent>
  <xr:revisionPtr revIDLastSave="0" documentId="13_ncr:1_{FE6947CC-03CB-437A-9A34-73B84558E526}" xr6:coauthVersionLast="47" xr6:coauthVersionMax="47" xr10:uidLastSave="{00000000-0000-0000-0000-000000000000}"/>
  <bookViews>
    <workbookView xWindow="-108" yWindow="-108" windowWidth="23256" windowHeight="13896" activeTab="4" xr2:uid="{A4B934D4-50AE-4B3C-B648-1E60E96FB2F7}"/>
  </bookViews>
  <sheets>
    <sheet name="capi" sheetId="2" r:id="rId1"/>
    <sheet name="obli regionales" sheetId="4" r:id="rId2"/>
    <sheet name="Sukuk" sheetId="5" r:id="rId3"/>
    <sheet name="Privés" sheetId="6" r:id="rId4"/>
    <sheet name="Obli Etat" sheetId="7" r:id="rId5"/>
    <sheet name="SGI" sheetId="8" r:id="rId6"/>
    <sheet name="Feuil1" sheetId="3" r:id="rId7"/>
  </sheets>
  <definedNames>
    <definedName name="DonnéesExternes_1" localSheetId="0" hidden="1">'capi'!$A$1:$F$49</definedName>
    <definedName name="DonnéesExternes_1" localSheetId="4" hidden="1">'Obli Etat'!$A$1:$D$165</definedName>
    <definedName name="DonnéesExternes_1" localSheetId="1" hidden="1">'obli regionales'!$A$1:$D$12</definedName>
    <definedName name="DonnéesExternes_1" localSheetId="3" hidden="1">Privés!$A$1:$D$12</definedName>
    <definedName name="DonnéesExternes_1" localSheetId="5" hidden="1">SGI!$A$1:$C$41</definedName>
    <definedName name="DonnéesExternes_1" localSheetId="2" hidden="1">Sukuk!$A$1:$D$3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9" i="2" l="1"/>
  <c r="D49" i="2"/>
  <c r="C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F2FF2-0C0A-47E8-90C2-9D24EDB8AD25}" keepAlive="1" name="Requête - Capi" description="Connexion à la requête « Capi » dans le classeur." type="5" refreshedVersion="8" background="1" saveData="1">
    <dbPr connection="Provider=Microsoft.Mashup.OleDb.1;Data Source=$Workbook$;Location=Capi;Extended Properties=&quot;&quot;" command="SELECT * FROM [Capi]"/>
  </connection>
  <connection id="2" xr16:uid="{8A24ADE2-162A-4502-87AA-D52C29B3BF8C}" keepAlive="1" name="Requête - Obli Etat" description="Connexion à la requête « Obli Etat » dans le classeur." type="5" refreshedVersion="8" background="1" saveData="1">
    <dbPr connection="Provider=Microsoft.Mashup.OleDb.1;Data Source=$Workbook$;Location=&quot;Obli Etat&quot;;Extended Properties=&quot;&quot;" command="SELECT * FROM [Obli Etat]"/>
  </connection>
  <connection id="3" xr16:uid="{4AC6B163-A6D8-41A7-A9B7-36676EB067B4}" keepAlive="1" name="Requête - obli regionales" description="Connexion à la requête « obli regionales » dans le classeur." type="5" refreshedVersion="8" background="1" saveData="1">
    <dbPr connection="Provider=Microsoft.Mashup.OleDb.1;Data Source=$Workbook$;Location=&quot;obli regionales&quot;;Extended Properties=&quot;&quot;" command="SELECT * FROM [obli regionales]"/>
  </connection>
  <connection id="4" xr16:uid="{B27A0A22-6BD9-41D4-B1D6-D0EBAA5A2465}" keepAlive="1" name="Requête - oe 2" description="Connexion à la requête « oe 2 » dans le classeur." type="5" refreshedVersion="0" background="1" saveData="1">
    <dbPr connection="Provider=Microsoft.Mashup.OleDb.1;Data Source=$Workbook$;Location=&quot;oe 2&quot;;Extended Properties=&quot;&quot;" command="SELECT * FROM [oe 2]"/>
  </connection>
  <connection id="5" xr16:uid="{DCA63BAD-B8BB-4A3F-AD46-EEF498356DB3}" keepAlive="1" name="Requête - Privés" description="Connexion à la requête « Privés » dans le classeur." type="5" refreshedVersion="8" background="1" saveData="1">
    <dbPr connection="Provider=Microsoft.Mashup.OleDb.1;Data Source=$Workbook$;Location=Privés;Extended Properties=&quot;&quot;" command="SELECT * FROM [Privés]"/>
  </connection>
  <connection id="6" xr16:uid="{9E6A0D87-9367-4AA7-A600-962F90F574BD}" keepAlive="1" name="Requête - SGI" description="Connexion à la requête « SGI » dans le classeur." type="5" refreshedVersion="8" background="1" saveData="1">
    <dbPr connection="Provider=Microsoft.Mashup.OleDb.1;Data Source=$Workbook$;Location=SGI;Extended Properties=&quot;&quot;" command="SELECT * FROM [SGI]"/>
  </connection>
  <connection id="7" xr16:uid="{D10D5062-447F-4C1C-9435-1A3C2BFB5DAF}" keepAlive="1" name="Requête - Sukuk" description="Connexion à la requête « Sukuk » dans le classeur." type="5" refreshedVersion="8" background="1" saveData="1">
    <dbPr connection="Provider=Microsoft.Mashup.OleDb.1;Data Source=$Workbook$;Location=Sukuk;Extended Properties=&quot;&quot;" command="SELECT * FROM [Sukuk]"/>
  </connection>
  <connection id="8" xr16:uid="{6B8F01A8-6138-4BE4-97A1-6E4D562D4DD7}" keepAlive="1" name="Requête - Table 1" description="Connexion à la requête « Table 1 » dans le classeur." type="5" refreshedVersion="0" background="1" saveData="1">
    <dbPr connection="Provider=Microsoft.Mashup.OleDb.1;Data Source=$Workbook$;Location=&quot;Table 1&quot;;Extended Properties=&quot;&quot;" command="SELECT * FROM [Table 1]"/>
  </connection>
  <connection id="9" xr16:uid="{9163A5D1-0707-4550-B6C1-0617A4A7BBD4}" keepAlive="1" name="Requête - Table 1 (2)" description="Connexion à la requête « Table 1 (2) » dans le classeur." type="5" refreshedVersion="0" background="1" saveData="1">
    <dbPr connection="Provider=Microsoft.Mashup.OleDb.1;Data Source=$Workbook$;Location=&quot;Table 1 (2)&quot;;Extended Properties=&quot;&quot;" command="SELECT * FROM [Table 1 (2)]"/>
  </connection>
  <connection id="10" xr16:uid="{19A5D9BF-85D4-4AB7-93DD-240ED9B3FD11}" keepAlive="1" name="Requête - Table 1 (3)" description="Connexion à la requête « Table 1 (3) » dans le classeur." type="5" refreshedVersion="0" background="1" saveData="1">
    <dbPr connection="Provider=Microsoft.Mashup.OleDb.1;Data Source=$Workbook$;Location=&quot;Table 1 (3)&quot;;Extended Properties=&quot;&quot;" command="SELECT * FROM [Table 1 (3)]"/>
  </connection>
  <connection id="11" xr16:uid="{A0674993-3A80-45C3-BE0C-E77D7BFFDDB0}" keepAlive="1" name="Requête - Table 1 (4)" description="Connexion à la requête « Table 1 (4) » dans le classeur." type="5" refreshedVersion="0" background="1" saveData="1">
    <dbPr connection="Provider=Microsoft.Mashup.OleDb.1;Data Source=$Workbook$;Location=&quot;Table 1 (4)&quot;;Extended Properties=&quot;&quot;" command="SELECT * FROM [Table 1 (4)]"/>
  </connection>
  <connection id="12" xr16:uid="{DFC4E250-2B49-428D-BC02-5A56CA410558}" keepAlive="1" name="Requête - Table 1 (5)" description="Connexion à la requête « Table 1 (5) » dans le classeur." type="5" refreshedVersion="0" background="1" saveData="1">
    <dbPr connection="Provider=Microsoft.Mashup.OleDb.1;Data Source=$Workbook$;Location=&quot;Table 1 (5)&quot;;Extended Properties=&quot;&quot;" command="SELECT * FROM [Table 1 (5)]"/>
  </connection>
  <connection id="13" xr16:uid="{2C3F20E0-CBC6-46BF-B35F-472D0FB2EDC2}" keepAlive="1" name="Requête - Table 1 (6)" description="Connexion à la requête « Table 1 (6) » dans le classeur." type="5" refreshedVersion="0" background="1" saveData="1">
    <dbPr connection="Provider=Microsoft.Mashup.OleDb.1;Data Source=$Workbook$;Location=&quot;Table 1 (6)&quot;;Extended Properties=&quot;&quot;" command="SELECT * FROM [Table 1 (6)]"/>
  </connection>
  <connection id="14" xr16:uid="{F913B1D4-6FC0-4CEE-A6F6-ED06D8F02CAE}" keepAlive="1" name="Requête - Table 1 (7)" description="Connexion à la requête « Table 1 (7) » dans le classeur." type="5" refreshedVersion="0" background="1" saveData="1">
    <dbPr connection="Provider=Microsoft.Mashup.OleDb.1;Data Source=$Workbook$;Location=&quot;Table 1 (7)&quot;;Extended Properties=&quot;&quot;" command="SELECT * FROM [Table 1 (7)]"/>
  </connection>
</connections>
</file>

<file path=xl/sharedStrings.xml><?xml version="1.0" encoding="utf-8"?>
<sst xmlns="http://schemas.openxmlformats.org/spreadsheetml/2006/main" count="1000" uniqueCount="480">
  <si>
    <t>Code obligation</t>
  </si>
  <si>
    <t>Nom</t>
  </si>
  <si>
    <t>Capitalisation flottante</t>
  </si>
  <si>
    <t>Capitalisation globale</t>
  </si>
  <si>
    <t>Capitalisation globale (%)</t>
  </si>
  <si>
    <t xml:space="preserve">Pays </t>
  </si>
  <si>
    <t>ABJC</t>
  </si>
  <si>
    <t>SERVAIR ABIDJAN  COTE D'IVOIRE</t>
  </si>
  <si>
    <t>Cote d'ivoire</t>
  </si>
  <si>
    <t>BICB</t>
  </si>
  <si>
    <t>BANQUE INTERNATIONALE POUR L’INDUSTRIE ET LE COMMERCE DU BENIN</t>
  </si>
  <si>
    <t>Benin</t>
  </si>
  <si>
    <t>BICC</t>
  </si>
  <si>
    <t>BICI COTE D'IVOIRE</t>
  </si>
  <si>
    <t>BNBC</t>
  </si>
  <si>
    <t>BERNABE COTE D'IVOIRE</t>
  </si>
  <si>
    <t>BOAB</t>
  </si>
  <si>
    <t>BANK OF AFRICA BENIN</t>
  </si>
  <si>
    <t xml:space="preserve">Benin </t>
  </si>
  <si>
    <t>BOABF</t>
  </si>
  <si>
    <t>BANK OF AFRICA BURKINA FASO</t>
  </si>
  <si>
    <t xml:space="preserve">Burkina Faso </t>
  </si>
  <si>
    <t>BOAC</t>
  </si>
  <si>
    <t>BANK OF AFRICA COTE D'IVOIRE</t>
  </si>
  <si>
    <t>BOAM</t>
  </si>
  <si>
    <t>BANK OF AFRICA MALI</t>
  </si>
  <si>
    <t xml:space="preserve">Mali </t>
  </si>
  <si>
    <t>BOAN</t>
  </si>
  <si>
    <t>BANK OF AFRICA NIGER</t>
  </si>
  <si>
    <t xml:space="preserve">Niger </t>
  </si>
  <si>
    <t>BOAS</t>
  </si>
  <si>
    <t>BANK OF AFRICA SENEGAL</t>
  </si>
  <si>
    <t xml:space="preserve">Senegal </t>
  </si>
  <si>
    <t>CABC</t>
  </si>
  <si>
    <t>SICABLE COTE D'IVOIRE</t>
  </si>
  <si>
    <t>CBIBF</t>
  </si>
  <si>
    <t>CORIS BANK INTERNATIONAL BURKINA FASO</t>
  </si>
  <si>
    <t>Burkina Faso</t>
  </si>
  <si>
    <t>CFAC</t>
  </si>
  <si>
    <t>CFAO MOTORS COTE D'IVOIRE</t>
  </si>
  <si>
    <t>CIEC</t>
  </si>
  <si>
    <t>CIE COTE D'IVOIRE</t>
  </si>
  <si>
    <t>ECOC</t>
  </si>
  <si>
    <t>ECOBANK COTE D'IVOIRE</t>
  </si>
  <si>
    <t>ETIT</t>
  </si>
  <si>
    <t>Ecobank Transnational Incorporated TOGO</t>
  </si>
  <si>
    <t>Togo</t>
  </si>
  <si>
    <t>FTSC</t>
  </si>
  <si>
    <t>FILTISAC COTE D'IVOIRE</t>
  </si>
  <si>
    <t>LNBB</t>
  </si>
  <si>
    <t>LOTERIE NATIONALE DU BENIN</t>
  </si>
  <si>
    <t>NEIC</t>
  </si>
  <si>
    <t>NEI-CEDA COTE D'IVOIRE</t>
  </si>
  <si>
    <t>NSBC</t>
  </si>
  <si>
    <t>NSIA BANQUE COTE D'IVOIRE</t>
  </si>
  <si>
    <t>NTLC</t>
  </si>
  <si>
    <t>NESTLE COTE D'IVOIRE</t>
  </si>
  <si>
    <t>ONTBF</t>
  </si>
  <si>
    <t>ONATEL BURKINA FASO</t>
  </si>
  <si>
    <t>ORAC</t>
  </si>
  <si>
    <t>ORANGE COTE D'IVOIRE</t>
  </si>
  <si>
    <t>ORGT</t>
  </si>
  <si>
    <t>ORAGROUP TOGO</t>
  </si>
  <si>
    <t>PALC</t>
  </si>
  <si>
    <t>PALM COTE D'IVOIRE</t>
  </si>
  <si>
    <t>PRSC</t>
  </si>
  <si>
    <t>TRACTAFRIC MOTORS COTE D'IVOIRE</t>
  </si>
  <si>
    <t>SAFC</t>
  </si>
  <si>
    <t>SAFCA COTE D'IVOIRE</t>
  </si>
  <si>
    <t>SCRC</t>
  </si>
  <si>
    <t>SUCRIVOIRE COTE D'IVOIRE</t>
  </si>
  <si>
    <t>SDCC</t>
  </si>
  <si>
    <t>SODE COTE D'IVOIRE</t>
  </si>
  <si>
    <t>SDSC</t>
  </si>
  <si>
    <t>AFRICA GLOBAL LOGISTICS COTE D'IVOIRE</t>
  </si>
  <si>
    <t>SEMC</t>
  </si>
  <si>
    <t>EVIOSYS PACKAGING SIEM COTE D'IVOIRE</t>
  </si>
  <si>
    <t>SGBC</t>
  </si>
  <si>
    <t>SOCIETE GENERALE COTE D'IVOIRE</t>
  </si>
  <si>
    <t>SHEC</t>
  </si>
  <si>
    <t>VIVO ENERGY COTE D'IVOIRE</t>
  </si>
  <si>
    <t>SIBC</t>
  </si>
  <si>
    <t>SOCIETE IVOIRIENNE DE BANQUE COTE D'IVOIRE</t>
  </si>
  <si>
    <t>SICC</t>
  </si>
  <si>
    <t>SICOR COTE D'IVOIRE</t>
  </si>
  <si>
    <t>SIVC</t>
  </si>
  <si>
    <t>ERIUM COTE D’IVOIRE</t>
  </si>
  <si>
    <t>SLBC</t>
  </si>
  <si>
    <t>SOLIBRA COTE D'IVOIRE</t>
  </si>
  <si>
    <t>SMBC</t>
  </si>
  <si>
    <t>SMB COTE D'IVOIRE</t>
  </si>
  <si>
    <t>SNTS</t>
  </si>
  <si>
    <t>SONATEL SENEGAL</t>
  </si>
  <si>
    <t>Senegal</t>
  </si>
  <si>
    <t>SOGC</t>
  </si>
  <si>
    <t>SOGB COTE D'IVOIRE</t>
  </si>
  <si>
    <t>SPHC</t>
  </si>
  <si>
    <t>SAPH COTE D'IVOIRE</t>
  </si>
  <si>
    <t>STAC</t>
  </si>
  <si>
    <t>SETAO COTE D'IVOIRE</t>
  </si>
  <si>
    <t>STBC</t>
  </si>
  <si>
    <t>SITAB COTE D'IVOIRE</t>
  </si>
  <si>
    <t>TTLC</t>
  </si>
  <si>
    <t>TOTALENERGIES MARKETING COTE D'IVOIRE</t>
  </si>
  <si>
    <t>TTLS</t>
  </si>
  <si>
    <t>TOTALENERGIES MARKETING SENEGAL</t>
  </si>
  <si>
    <t>UNLC</t>
  </si>
  <si>
    <t>UNILEVER COTE D'IVOIRE</t>
  </si>
  <si>
    <t>UNXC</t>
  </si>
  <si>
    <t>UNIWAX COTE D'IVOIRE</t>
  </si>
  <si>
    <t>20 440 338 946 984 FCFA</t>
  </si>
  <si>
    <t>Total capi</t>
  </si>
  <si>
    <t>Symbole</t>
  </si>
  <si>
    <t>Obligation</t>
  </si>
  <si>
    <t>Catégorie</t>
  </si>
  <si>
    <t>Pays</t>
  </si>
  <si>
    <t>BIDC.O4</t>
  </si>
  <si>
    <t>BIDC-EBID 6.10% 2017-2027</t>
  </si>
  <si>
    <t>Régionales</t>
  </si>
  <si>
    <t>BIDC.O5</t>
  </si>
  <si>
    <t>BIDC-EBID 6,40% 2019-2026</t>
  </si>
  <si>
    <t>BIDC.O6</t>
  </si>
  <si>
    <t>BIDC-EBID 6,50% 2021-2028</t>
  </si>
  <si>
    <t>BIDC.O7</t>
  </si>
  <si>
    <t>BIDC-EBID 5,90% 2022-2029</t>
  </si>
  <si>
    <t>BIDC.O8</t>
  </si>
  <si>
    <t>BIDC-EBID GSS BOND 6,50% 2024-2031</t>
  </si>
  <si>
    <t>CRRH.O10</t>
  </si>
  <si>
    <t>CRRH-UEMOA 6,10% 2022-2037</t>
  </si>
  <si>
    <t>CRRH.O11</t>
  </si>
  <si>
    <t>SOCIAL BOND CRRH-UEMOA 6,00% 2025-2040</t>
  </si>
  <si>
    <t>CRRH.O6</t>
  </si>
  <si>
    <t>CRRH-UEMOA 5.85% 2016-2026</t>
  </si>
  <si>
    <t>CRRH.O7</t>
  </si>
  <si>
    <t>CRRH-UEMOA 5.95% 2017-2029</t>
  </si>
  <si>
    <t>CRRH.O8</t>
  </si>
  <si>
    <t>CRRH-UEMOA 5.95% 2018-2030</t>
  </si>
  <si>
    <t>CRRH.O9</t>
  </si>
  <si>
    <t>CRRH-UEMOA 6.05% 2018-2033</t>
  </si>
  <si>
    <t>SUKSN.S2</t>
  </si>
  <si>
    <t>SUKUK SN 6% 2016-2026</t>
  </si>
  <si>
    <t>Sukuk</t>
  </si>
  <si>
    <t>SUKTG.S1</t>
  </si>
  <si>
    <t>SUKUK TG 6.5% 2016-2026</t>
  </si>
  <si>
    <t xml:space="preserve">Togo </t>
  </si>
  <si>
    <t>BABS.O1</t>
  </si>
  <si>
    <t>GSS BAOBAB 6,80% 2024-2029</t>
  </si>
  <si>
    <t>Privées</t>
  </si>
  <si>
    <t>ECOC.O1</t>
  </si>
  <si>
    <t>GENDER BOND ECOBANK CI 6,50% 2024-2029</t>
  </si>
  <si>
    <t>FDFINBF.O1</t>
  </si>
  <si>
    <t>FIDELIS FINANCE CAP25 7% 2023-2028</t>
  </si>
  <si>
    <t>FDFINBF.O2</t>
  </si>
  <si>
    <t>FIDELIS FINANCE PME ELAN CROISSANCE UMOA 7% 2025-2030</t>
  </si>
  <si>
    <t>FDFINBF.O3</t>
  </si>
  <si>
    <t>FIDELIS FINANCE PME ELAN CROISSANCE UMOA 2 - 7% 2025-2030</t>
  </si>
  <si>
    <t>NRMC.O1</t>
  </si>
  <si>
    <t>NOURMONY HOLDING 7,25% 2024-2029</t>
  </si>
  <si>
    <t>ORGT.O2</t>
  </si>
  <si>
    <t>ORAGROUP SA 7,15% 2021-2028</t>
  </si>
  <si>
    <t>PADS.O3</t>
  </si>
  <si>
    <t>PAD 6,60% 2020-2027</t>
  </si>
  <si>
    <t>PTRC.O1</t>
  </si>
  <si>
    <t>PETRO IVOIRE 6,80% 2022-2029</t>
  </si>
  <si>
    <t>SCRC.O1</t>
  </si>
  <si>
    <t>SUCRIVOIRE SA 8,55 % 2024-2031</t>
  </si>
  <si>
    <t>SNTS.O2</t>
  </si>
  <si>
    <t>SONATEL 6,50% 2020-2027</t>
  </si>
  <si>
    <t>EOM.O10</t>
  </si>
  <si>
    <t>ETAT DU MALI 6,20% 2022-2029</t>
  </si>
  <si>
    <t>État</t>
  </si>
  <si>
    <t>EOM.O11</t>
  </si>
  <si>
    <t>ETAT DU MALI 6,40% 2023-2030</t>
  </si>
  <si>
    <t>EOM.O12</t>
  </si>
  <si>
    <t>ETAT DU MALI 6,50% 2023-2030</t>
  </si>
  <si>
    <t>EOM.O13</t>
  </si>
  <si>
    <t>ETAT DU MALI 6,50% 2024-2034</t>
  </si>
  <si>
    <t>EOM.O14</t>
  </si>
  <si>
    <t>ETAT DU MALI 3,00 % 2024-2031</t>
  </si>
  <si>
    <t>EOM.O15</t>
  </si>
  <si>
    <t>ETAT DU MALI 6,55 % 2024-2031</t>
  </si>
  <si>
    <t>EOM.O16</t>
  </si>
  <si>
    <t>ETAT DU MALI 6,35 % 2024-2029</t>
  </si>
  <si>
    <t>EOM.O17</t>
  </si>
  <si>
    <t>ETAT DU MALI 6,55% 2025-2032</t>
  </si>
  <si>
    <t>EOM.O18</t>
  </si>
  <si>
    <t>ETAT DU MALI 6,35% 2025-2030</t>
  </si>
  <si>
    <t>EOM.O19</t>
  </si>
  <si>
    <t>EOM.O20</t>
  </si>
  <si>
    <t>EOM.O21</t>
  </si>
  <si>
    <t>ETAT DU MALI 6,55% 2026-2036</t>
  </si>
  <si>
    <t>EOM.O22</t>
  </si>
  <si>
    <t>ETAT DU MALI 6,35% 2026-2033</t>
  </si>
  <si>
    <t>EOM.O4</t>
  </si>
  <si>
    <t>ETAT DU MALI 6,50% 2019-2027</t>
  </si>
  <si>
    <t>EOM.O5</t>
  </si>
  <si>
    <t>ETAT DU MALI 6,50% 2020-2028</t>
  </si>
  <si>
    <t>EOM.O6</t>
  </si>
  <si>
    <t>ETAT DU MALI 6,50% 2020-2027</t>
  </si>
  <si>
    <t>EOM.O7</t>
  </si>
  <si>
    <t>ETAT DU MALI 6,50% 2021-2031</t>
  </si>
  <si>
    <t>EOM.O8</t>
  </si>
  <si>
    <t>ETAT DU MALI 6,20% 2022-2032</t>
  </si>
  <si>
    <t>EOM.O9</t>
  </si>
  <si>
    <t>ETAT DU MALI 6,30% 2022-2032</t>
  </si>
  <si>
    <t>EOS.O10</t>
  </si>
  <si>
    <t>ETAT DU SENEGAL 6,15% 2023-2030</t>
  </si>
  <si>
    <t>Mali</t>
  </si>
  <si>
    <t>EOS.O11</t>
  </si>
  <si>
    <t>ETAT DU SENEGAL 6,35% 2023-2033</t>
  </si>
  <si>
    <t>EOS.O12</t>
  </si>
  <si>
    <t>ETAT DU SENEGAL 6,15% 2023-2028</t>
  </si>
  <si>
    <t>EOS.O13</t>
  </si>
  <si>
    <t>ETAT DU SENEGAL 6,30% 2023-2030</t>
  </si>
  <si>
    <t>EOS.O14</t>
  </si>
  <si>
    <t>ETAT DU SENEGAL 6,50% 2023-2033</t>
  </si>
  <si>
    <t>EOS.O15</t>
  </si>
  <si>
    <t>ETAT DU SENEGAL 6,25% 2024-2029</t>
  </si>
  <si>
    <t>EOS.O16</t>
  </si>
  <si>
    <t>ETAT DU SENEGAL 6,45% 2024-2031</t>
  </si>
  <si>
    <t>EOS.O17</t>
  </si>
  <si>
    <t>ETAT DU SENEGAL 6,65% 2024-2034</t>
  </si>
  <si>
    <t>EOS.O18</t>
  </si>
  <si>
    <t>ETAT DU SENEGAL 6,40% 2025-2028</t>
  </si>
  <si>
    <t>EOS.O19</t>
  </si>
  <si>
    <t>ETAT DU SENEGAL 6,60% 2025-2030</t>
  </si>
  <si>
    <t>EOS.O20</t>
  </si>
  <si>
    <t>ETAT DU SENEGAL 6,75% 2025-2032</t>
  </si>
  <si>
    <t>EOS.O21</t>
  </si>
  <si>
    <t>ETAT DU SENEGAL 6,95% 2025-2035</t>
  </si>
  <si>
    <t>EOS.O22</t>
  </si>
  <si>
    <t>EOS.O23</t>
  </si>
  <si>
    <t>EOS.O24</t>
  </si>
  <si>
    <t>EOS.O25</t>
  </si>
  <si>
    <t>EOS.O26</t>
  </si>
  <si>
    <t>EOS.O27</t>
  </si>
  <si>
    <t>EOS.O28</t>
  </si>
  <si>
    <t>EOS.O29</t>
  </si>
  <si>
    <t>EOS.O30</t>
  </si>
  <si>
    <t>EOS.O31</t>
  </si>
  <si>
    <t>EOS.O32</t>
  </si>
  <si>
    <t>EOS.O33</t>
  </si>
  <si>
    <t>EOS.O8</t>
  </si>
  <si>
    <t>ETAT DU SENEGAL 5,95% 2022-2034</t>
  </si>
  <si>
    <t>EOS.O9</t>
  </si>
  <si>
    <t>ETAT DU SENEGAL 6% 2023-2028</t>
  </si>
  <si>
    <t>TPBF.O10</t>
  </si>
  <si>
    <t>TPBF.O11</t>
  </si>
  <si>
    <t>TPBF.O12</t>
  </si>
  <si>
    <t>TPBF.O13</t>
  </si>
  <si>
    <t>TPBF.O14</t>
  </si>
  <si>
    <t>TPBF.O15</t>
  </si>
  <si>
    <t>TPBF.O16</t>
  </si>
  <si>
    <t>TPBF.O17</t>
  </si>
  <si>
    <t>TPBF.O18</t>
  </si>
  <si>
    <t>TPBF.O19</t>
  </si>
  <si>
    <t>TPBF.O20</t>
  </si>
  <si>
    <t>TPBF.O21</t>
  </si>
  <si>
    <t>TPBF.O22</t>
  </si>
  <si>
    <t>TPBF.O23</t>
  </si>
  <si>
    <t>TPBF.O24</t>
  </si>
  <si>
    <t>TPBF.O25</t>
  </si>
  <si>
    <t>TPBF.O4</t>
  </si>
  <si>
    <t>TPBF 6.50% 2017-2027</t>
  </si>
  <si>
    <t>TPBF.O8</t>
  </si>
  <si>
    <t>TPBF 6,50% 2019-2027</t>
  </si>
  <si>
    <t>TPBF.O9</t>
  </si>
  <si>
    <t>TPBJ.O1</t>
  </si>
  <si>
    <t>TPBJ 6.50% 2017-2027</t>
  </si>
  <si>
    <t>TPBJ.O10</t>
  </si>
  <si>
    <t>TPBJ 6,15% 2025-2035</t>
  </si>
  <si>
    <t>TPBJ.O3</t>
  </si>
  <si>
    <t>TPBJ 6,50% 2020-2028</t>
  </si>
  <si>
    <t>TPBJ.O4</t>
  </si>
  <si>
    <t>TPBJ 5,50% 2022-2037</t>
  </si>
  <si>
    <t>TPBJ.O5</t>
  </si>
  <si>
    <t>TPBJ 5,85% 2022-2042</t>
  </si>
  <si>
    <t>TPBJ.O6</t>
  </si>
  <si>
    <t>TPBJ 5,75% 2022-2037</t>
  </si>
  <si>
    <t>TPBJ.O7</t>
  </si>
  <si>
    <t>TPBJ 5,70% 2023-2030</t>
  </si>
  <si>
    <t>TPBJ.O8</t>
  </si>
  <si>
    <t>TPBJ 6,20% 2023-2038</t>
  </si>
  <si>
    <t>TPBJ.O9</t>
  </si>
  <si>
    <t>TPBJ 6,00% 2025-2032</t>
  </si>
  <si>
    <t>TPCI.O100</t>
  </si>
  <si>
    <t>TPCI 5,85% 2025-2032</t>
  </si>
  <si>
    <t>TPCI.O101</t>
  </si>
  <si>
    <t>TPCI 5,85% 2026-2033</t>
  </si>
  <si>
    <t>TPCI.O102</t>
  </si>
  <si>
    <t>TPCI 6,00% 2026-2036</t>
  </si>
  <si>
    <t>TPCI.O21</t>
  </si>
  <si>
    <t>TPCI 6% 2016-2028</t>
  </si>
  <si>
    <t>TPCI.O22</t>
  </si>
  <si>
    <t>TPCI 5.90% 2016-2026</t>
  </si>
  <si>
    <t>TPCI.O23</t>
  </si>
  <si>
    <t>TPCI.O24</t>
  </si>
  <si>
    <t>TPCI 6.25% 2017-2029</t>
  </si>
  <si>
    <t>Cote divoire</t>
  </si>
  <si>
    <t>TPCI.O28</t>
  </si>
  <si>
    <t>TPCI 6% 2018-2026</t>
  </si>
  <si>
    <t>TPCI.O29</t>
  </si>
  <si>
    <t>TPCI.O31</t>
  </si>
  <si>
    <t>TPCI 5,75% 2019-2026</t>
  </si>
  <si>
    <t>TPCI.O33</t>
  </si>
  <si>
    <t>TPCI 5.75% 2019-2026</t>
  </si>
  <si>
    <t>TPCI.O34</t>
  </si>
  <si>
    <t>TPCI 6% 2019-2029</t>
  </si>
  <si>
    <t>TPCI.O35</t>
  </si>
  <si>
    <t>TPCI.O36</t>
  </si>
  <si>
    <t>TPCI.O37</t>
  </si>
  <si>
    <t>TPCI 5,80% 2019-2026</t>
  </si>
  <si>
    <t>TPCI.O38</t>
  </si>
  <si>
    <t>TPCI.O39</t>
  </si>
  <si>
    <t>TPCI.O40</t>
  </si>
  <si>
    <t>TPCI.O41</t>
  </si>
  <si>
    <t>TPCI 5,80% 2020-2027</t>
  </si>
  <si>
    <t>TPCI.O42</t>
  </si>
  <si>
    <t>TPCI 5,90% 2020-2030</t>
  </si>
  <si>
    <t>TPCI.O43</t>
  </si>
  <si>
    <t>TPCI.O44</t>
  </si>
  <si>
    <t>TPCI.O45</t>
  </si>
  <si>
    <t>TPCI.O46</t>
  </si>
  <si>
    <t>TPCI.O47</t>
  </si>
  <si>
    <t>TPCI.O48</t>
  </si>
  <si>
    <t>TPCI.O49</t>
  </si>
  <si>
    <t>TPCI.O50</t>
  </si>
  <si>
    <t>TPCI.O51</t>
  </si>
  <si>
    <t>TPCI.O52</t>
  </si>
  <si>
    <t>TPCI.O53</t>
  </si>
  <si>
    <t>TPCI.O54</t>
  </si>
  <si>
    <t>TPCI.O55</t>
  </si>
  <si>
    <t>TPCI.O56</t>
  </si>
  <si>
    <t>TPCI.O57</t>
  </si>
  <si>
    <t>TPCI.O58</t>
  </si>
  <si>
    <t>TPCI 5,80% 2021-2028</t>
  </si>
  <si>
    <t>TPCI.O59</t>
  </si>
  <si>
    <t>TPCI 5,90% 2021-2031</t>
  </si>
  <si>
    <t>TPCI.O60</t>
  </si>
  <si>
    <t>TPCI.O61</t>
  </si>
  <si>
    <t>TPCI.O62</t>
  </si>
  <si>
    <t>TPCI.O63</t>
  </si>
  <si>
    <t>TPCI.O64</t>
  </si>
  <si>
    <t>TPCI.O65</t>
  </si>
  <si>
    <t>TPCI.O66</t>
  </si>
  <si>
    <t>TPCI.O67</t>
  </si>
  <si>
    <t>TPCI 5,90% 2021-2036</t>
  </si>
  <si>
    <t>TPCI.O68</t>
  </si>
  <si>
    <t>TPCI 5,90% 2022-2037</t>
  </si>
  <si>
    <t>TPCI.O69</t>
  </si>
  <si>
    <t>TPCI 5,75% 2022-2037</t>
  </si>
  <si>
    <t>TPCI.O70</t>
  </si>
  <si>
    <t>TPCI.O71</t>
  </si>
  <si>
    <t>TPCI 5,65% 2022-2032</t>
  </si>
  <si>
    <t>TPCI.O72</t>
  </si>
  <si>
    <t>TPCI 5,65% 2022-2029</t>
  </si>
  <si>
    <t>TPCI.O73</t>
  </si>
  <si>
    <t>TPCI 5,75% 2022-2032</t>
  </si>
  <si>
    <t>TPCI.O74</t>
  </si>
  <si>
    <t>TPCI 5,85% 2022-2042</t>
  </si>
  <si>
    <t>TPCI.O75</t>
  </si>
  <si>
    <t>TPCI.O76</t>
  </si>
  <si>
    <t>TPCI.O77</t>
  </si>
  <si>
    <t>TPCI (TX DE BASE + SPREAD)% 2022-2029</t>
  </si>
  <si>
    <t>TPCI.O78</t>
  </si>
  <si>
    <t>TPCI.O79</t>
  </si>
  <si>
    <t>TPCI 5,75% 2023-2030</t>
  </si>
  <si>
    <t>TPCI.O80</t>
  </si>
  <si>
    <t>TPCI 6,00% 2023-2030</t>
  </si>
  <si>
    <t>TPCI.O81</t>
  </si>
  <si>
    <t>TPCI 5,90% 2023-2028</t>
  </si>
  <si>
    <t>TPCI.O82</t>
  </si>
  <si>
    <t>TPCI.O83</t>
  </si>
  <si>
    <t>TPCI.O84</t>
  </si>
  <si>
    <t>TPCI.O85</t>
  </si>
  <si>
    <t>TPCI.O86</t>
  </si>
  <si>
    <t>TPCI.O87</t>
  </si>
  <si>
    <t>TPCI 5,90% 2024-2029</t>
  </si>
  <si>
    <t>TPCI.O88</t>
  </si>
  <si>
    <t>TPCI 6,00% 2024-2031</t>
  </si>
  <si>
    <t>TPCI.O89</t>
  </si>
  <si>
    <t>TPCI.O90</t>
  </si>
  <si>
    <t xml:space="preserve">Cote d'ivoire </t>
  </si>
  <si>
    <t>TPCI.O91</t>
  </si>
  <si>
    <t>TPCI.O92</t>
  </si>
  <si>
    <t>TPCI.O93</t>
  </si>
  <si>
    <t>TPCI.O94</t>
  </si>
  <si>
    <t>TPCI.O95</t>
  </si>
  <si>
    <t>TPCI 5,90% 2025-2030</t>
  </si>
  <si>
    <t>TPCI.O96</t>
  </si>
  <si>
    <t>TPCI 6,00% 2025-2032</t>
  </si>
  <si>
    <t>TPCI.O97</t>
  </si>
  <si>
    <t>TPCI.O98</t>
  </si>
  <si>
    <t>TPCI.O99</t>
  </si>
  <si>
    <t>TPCI 5,60% 2025-2030</t>
  </si>
  <si>
    <t>TPNE.O1</t>
  </si>
  <si>
    <t>TRESOR PUBLIC DU NIGER 6,50% 2019-2026</t>
  </si>
  <si>
    <t>Niger</t>
  </si>
  <si>
    <t>TPNE.O10</t>
  </si>
  <si>
    <t>TRESOR PUBLIC DU NIGER 6,60% 2025-2030</t>
  </si>
  <si>
    <t>TPNE.O2</t>
  </si>
  <si>
    <t>TPNE.O3</t>
  </si>
  <si>
    <t>TRESOR PUBLIC DU NIGER 6,50% 2020-2027</t>
  </si>
  <si>
    <t>TPNE.O4</t>
  </si>
  <si>
    <t>TRESOR PUBLIC DU NIGER 6,30% 2021-2031</t>
  </si>
  <si>
    <t>TPNE.O5</t>
  </si>
  <si>
    <t>TRESOR PUBLIC DU NIGER 6,15% 2022-2034</t>
  </si>
  <si>
    <t>TPNE.O6</t>
  </si>
  <si>
    <t>TPNE.O7</t>
  </si>
  <si>
    <t>TRESOR PUBLIC DU NIGER 6,25% 2023-2028</t>
  </si>
  <si>
    <t>TPNE.O8</t>
  </si>
  <si>
    <t>TPTG.O2</t>
  </si>
  <si>
    <t>TPTG 6% 2022-2037</t>
  </si>
  <si>
    <t>TPTG.O3</t>
  </si>
  <si>
    <t>TPTG 6,45% 2025-2030</t>
  </si>
  <si>
    <t>TPTG.O4</t>
  </si>
  <si>
    <t>TPTG 6,60% 2025-2032</t>
  </si>
  <si>
    <t>TPTG.O5</t>
  </si>
  <si>
    <t>TPTG 6,50% 2026-2031</t>
  </si>
  <si>
    <t>TPTG.O6</t>
  </si>
  <si>
    <t>TPTG 6,70% 2026-2033</t>
  </si>
  <si>
    <t>#</t>
  </si>
  <si>
    <t>Noms des SGI</t>
  </si>
  <si>
    <t>BSIC Capital SA</t>
  </si>
  <si>
    <t>Côte d'Ivoire</t>
  </si>
  <si>
    <t>SOCIÉTÉ AFRICAINE D'INGÉNIERIE ET D'INTERMÉDIATION FINANCIÈRE (SA2IF)</t>
  </si>
  <si>
    <t>FINANCE GESTION ET INTERMEDIATION (FGI)</t>
  </si>
  <si>
    <t>Sénégal</t>
  </si>
  <si>
    <t>PHOENIX CAPITAL MANAGEMENT</t>
  </si>
  <si>
    <t>AFRICAINE DE GESTION ET D'INTERMÉDIATION (AGI)</t>
  </si>
  <si>
    <t>Bénin</t>
  </si>
  <si>
    <t>SOCIETE BURKINABE D'INTERMEDIATION FINANCIERE (SBIF)</t>
  </si>
  <si>
    <t>GEK CAPITAL</t>
  </si>
  <si>
    <t>CGF BOURSE</t>
  </si>
  <si>
    <t>SIRIUS CAPITAL FOR AFRICA</t>
  </si>
  <si>
    <t>ABCO BOURSE</t>
  </si>
  <si>
    <t>INVICTUS CAPITAL FINANCE</t>
  </si>
  <si>
    <t>ATLANTIQUE FINANCE</t>
  </si>
  <si>
    <t>SGI NIGER S.A</t>
  </si>
  <si>
    <t>CORIS BOURSE S.A</t>
  </si>
  <si>
    <t>HUDSON &amp; Cie</t>
  </si>
  <si>
    <t>NSIA CAPITAL</t>
  </si>
  <si>
    <t>IMPAXIS SECURITIES SA</t>
  </si>
  <si>
    <t>MATHA CAPITAL</t>
  </si>
  <si>
    <t>EVEREST Finance</t>
  </si>
  <si>
    <t>MAC AFRICAN SGI</t>
  </si>
  <si>
    <t>ORAGROUP SECURITIES</t>
  </si>
  <si>
    <t>UNITED CAPITAL FOR AFRICA</t>
  </si>
  <si>
    <t>BIIC FINANCIAL SERVICES (BFS)</t>
  </si>
  <si>
    <t>GLOBAL CAPITAL</t>
  </si>
  <si>
    <t>BRIDGE SECURITIES</t>
  </si>
  <si>
    <t>EDC INVESTMENT CORPORATION</t>
  </si>
  <si>
    <t>BICI BOURSE</t>
  </si>
  <si>
    <t>BOA CAPITAL SECURITIES</t>
  </si>
  <si>
    <t>SGI BENIN S.A</t>
  </si>
  <si>
    <t>AFRICABOURSE</t>
  </si>
  <si>
    <t>ATTIJARI SECURITIES WEST AFRICA</t>
  </si>
  <si>
    <t>SGI MALI S.A</t>
  </si>
  <si>
    <t>SGI TOGO S.A</t>
  </si>
  <si>
    <t>SOCIETE GENERALE CAPITAL  SECURITIES WEST AFRICA (SGCSWA)</t>
  </si>
  <si>
    <t>BNI FINANCES</t>
  </si>
  <si>
    <t>CIFA BOURSE</t>
  </si>
  <si>
    <t>IMAGES FINANCES INTERNATIONALES</t>
  </si>
  <si>
    <t>KERALES FINANCE</t>
  </si>
  <si>
    <t>MANSA CAPITAL</t>
  </si>
  <si>
    <t>ONE AFRICA MARKETS (OAM CI)</t>
  </si>
  <si>
    <t>ETAT DU Burkina Faso 6,50% 2020-2028</t>
  </si>
  <si>
    <t>ETAT DU Burkina Faso 6,50% 2021-2031</t>
  </si>
  <si>
    <t>ETAT DU Burkina Faso 6,30% 2022-2034</t>
  </si>
  <si>
    <t>ETAT DU Burkina Faso 6% 2023-2028</t>
  </si>
  <si>
    <t>ETAT DU Burkina Faso 6,30% 2023-2030</t>
  </si>
  <si>
    <t>ETAT DU Burkina Faso 6,50% 2023-2033</t>
  </si>
  <si>
    <t>ETAT DU Burkina Faso 6,30% 2024-2029</t>
  </si>
  <si>
    <t>ETAT DU Burkina Faso 6,55% 2024-2031</t>
  </si>
  <si>
    <t>ETAT DU Burkina Faso 6,50% 2024-2029</t>
  </si>
  <si>
    <t>ETAT DU Burkina Faso 6,80% 2024-2032</t>
  </si>
  <si>
    <t>ETAT DU Burkina Faso 6,60% 2025-2030</t>
  </si>
  <si>
    <t>ETAT DU Burkina Faso 6,80% 2025-2032</t>
  </si>
  <si>
    <t>ETAT DU Burkina Faso 7% 2025-2035</t>
  </si>
  <si>
    <t>ETAT DU Burkina Faso 6,50% 2019-2027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</si>
</sst>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40"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C5B16CF-93AC-42A9-BC5D-13336072E21E}" autoFormatId="16" applyNumberFormats="0" applyBorderFormats="0" applyFontFormats="0" applyPatternFormats="0" applyAlignmentFormats="0" applyWidthHeightFormats="0">
  <queryTableRefresh nextId="7">
    <queryTableFields count="6">
      <queryTableField id="1" name="Code obligation" tableColumnId="1"/>
      <queryTableField id="2" name="Nom" tableColumnId="2"/>
      <queryTableField id="3" name="Capitalisation flottante" tableColumnId="3"/>
      <queryTableField id="4" name="Capitalisation globale" tableColumnId="4"/>
      <queryTableField id="5" name="Capitalisation globale (%)" tableColumnId="5"/>
      <queryTableField id="6" name="Pays 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C0ACA7B4-75B4-41E7-AA61-7C4BBC684B8F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7" xr16:uid="{F4EFB3DA-35E7-419F-9F52-284ED8561D3B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915A6261-FA08-4FF0-8C0E-14180DAF6C68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65F9CCDC-08A8-4DF4-97B7-4DC38296C131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6" xr16:uid="{1E0C4A1B-D3FC-4393-A788-620B0AE99A96}" autoFormatId="16" applyNumberFormats="0" applyBorderFormats="0" applyFontFormats="0" applyPatternFormats="0" applyAlignmentFormats="0" applyWidthHeightFormats="0">
  <queryTableRefresh nextId="4">
    <queryTableFields count="3">
      <queryTableField id="1" name="#" tableColumnId="1"/>
      <queryTableField id="2" name="Noms des SGI" tableColumnId="2"/>
      <queryTableField id="3" name="Pay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36C071-D507-4D4F-8CB9-6E9F89DF59B2}" name="Capi" displayName="Capi" ref="A1:F49" tableType="queryTable" totalsRowShown="0" headerRowDxfId="39" headerRowBorderDxfId="38" tableBorderDxfId="37" totalsRowBorderDxfId="36">
  <autoFilter ref="A1:F49" xr:uid="{A836C071-D507-4D4F-8CB9-6E9F89DF59B2}"/>
  <tableColumns count="6">
    <tableColumn id="1" xr3:uid="{2D966A11-62B6-4635-B3DA-C51EE997114C}" uniqueName="1" name="Code obligation" queryTableFieldId="1" dataDxfId="35"/>
    <tableColumn id="2" xr3:uid="{3DE8F4C0-BD6F-4A10-B440-B8B1DB86F9A5}" uniqueName="2" name="Nom" queryTableFieldId="2" dataDxfId="34"/>
    <tableColumn id="3" xr3:uid="{DE80F4EF-536E-4482-9B4F-00D72355D84D}" uniqueName="3" name="Capitalisation flottante" queryTableFieldId="3" dataDxfId="33"/>
    <tableColumn id="4" xr3:uid="{FDF98B30-85BA-4C3B-822F-9833D65FF177}" uniqueName="4" name="Capitalisation globale" queryTableFieldId="4" dataDxfId="32"/>
    <tableColumn id="5" xr3:uid="{D62156E7-B875-4720-B5B2-6C59A57052C2}" uniqueName="5" name="Capitalisation globale (%)" queryTableFieldId="5" dataDxfId="31"/>
    <tableColumn id="6" xr3:uid="{08C564D3-C2A0-4C70-9375-6E3A9EBCB710}" uniqueName="6" name="Pays " queryTableFieldId="6" dataDxf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7CC7D-5A00-47E8-81DC-20A940F3A31B}" name="obli_regionales" displayName="obli_regionales" ref="A1:D12" tableType="queryTable" totalsRowShown="0" headerRowDxfId="29" headerRowBorderDxfId="28" tableBorderDxfId="27" totalsRowBorderDxfId="26">
  <autoFilter ref="A1:D12" xr:uid="{39F7CC7D-5A00-47E8-81DC-20A940F3A31B}"/>
  <tableColumns count="4">
    <tableColumn id="1" xr3:uid="{27358DF7-B1D3-4344-8213-24124D9E27B0}" uniqueName="1" name="Symbole" queryTableFieldId="1" dataDxfId="25"/>
    <tableColumn id="2" xr3:uid="{99BC4915-394A-4F52-AFED-0F3E00E4780E}" uniqueName="2" name="Obligation" queryTableFieldId="2" dataDxfId="24"/>
    <tableColumn id="3" xr3:uid="{C7AC65A9-D5CB-4BD4-BB46-24F94292B876}" uniqueName="3" name="Catégorie" queryTableFieldId="3" dataDxfId="23"/>
    <tableColumn id="4" xr3:uid="{985E4EC0-5CAB-49A1-B723-8C899CB7A72E}" uniqueName="4" name="Pays" queryTableFieldId="4" dataDxfId="2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3D39B8-691D-4428-8872-6388FCE7DC5E}" name="Sukuk" displayName="Sukuk" ref="A1:D3" tableType="queryTable" totalsRowShown="0" headerRowDxfId="21" headerRowBorderDxfId="20" tableBorderDxfId="19" totalsRowBorderDxfId="18">
  <autoFilter ref="A1:D3" xr:uid="{053D39B8-691D-4428-8872-6388FCE7DC5E}"/>
  <tableColumns count="4">
    <tableColumn id="1" xr3:uid="{EBD4DF99-13C4-4310-85A4-AB8957ED69A7}" uniqueName="1" name="Symbole" queryTableFieldId="1" dataDxfId="17"/>
    <tableColumn id="2" xr3:uid="{78B60EDB-B236-4B5C-A00A-A197832324F7}" uniqueName="2" name="Obligation" queryTableFieldId="2" dataDxfId="16"/>
    <tableColumn id="3" xr3:uid="{48D67500-D1CA-4B84-AA3B-EAD150A7B47F}" uniqueName="3" name="Catégorie" queryTableFieldId="3" dataDxfId="15"/>
    <tableColumn id="4" xr3:uid="{DF54AD13-A8FC-47FC-8485-35F6505B370D}" uniqueName="4" name="Pays" queryTableFieldId="4" dataDxfId="1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7041A0-DD8C-424E-B274-F17D9B8A5CCC}" name="Privés" displayName="Privés" ref="A1:D12" tableType="queryTable" totalsRowShown="0">
  <autoFilter ref="A1:D12" xr:uid="{AC7041A0-DD8C-424E-B274-F17D9B8A5CCC}"/>
  <tableColumns count="4">
    <tableColumn id="1" xr3:uid="{24D0411D-3972-4AE4-9CE7-A8AB5507858B}" uniqueName="1" name="Symbole" queryTableFieldId="1" dataDxfId="13"/>
    <tableColumn id="2" xr3:uid="{A13DAF20-F501-44B5-8AD3-33C6665F5BA6}" uniqueName="2" name="Obligation" queryTableFieldId="2" dataDxfId="12"/>
    <tableColumn id="3" xr3:uid="{2076AB39-1245-41C2-B1C5-C906B92E5E26}" uniqueName="3" name="Catégorie" queryTableFieldId="3" dataDxfId="11"/>
    <tableColumn id="4" xr3:uid="{C85178F7-87AB-402F-BF04-9C52F633F057}" uniqueName="4" name="Pays" queryTableFieldId="4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29A1CD3-B35E-40E6-94DC-C5FD4CE676CF}" name="Obli_Etat" displayName="Obli_Etat" ref="A1:D165" tableType="queryTable" totalsRowShown="0" headerRowDxfId="9" headerRowBorderDxfId="8" tableBorderDxfId="7" totalsRowBorderDxfId="6">
  <autoFilter ref="A1:D165" xr:uid="{329A1CD3-B35E-40E6-94DC-C5FD4CE676CF}"/>
  <tableColumns count="4">
    <tableColumn id="1" xr3:uid="{1CAEC37C-F121-498F-9A3C-DA8947F88945}" uniqueName="1" name="Symbole" queryTableFieldId="1" dataDxfId="5"/>
    <tableColumn id="2" xr3:uid="{44A6A67E-EFA6-44D5-A6D1-6D5613809134}" uniqueName="2" name="Obligation" queryTableFieldId="2" dataDxfId="4"/>
    <tableColumn id="3" xr3:uid="{2408E1F8-B49E-4EC6-9772-393462A7ADB9}" uniqueName="3" name="Catégorie" queryTableFieldId="3" dataDxfId="3"/>
    <tableColumn id="4" xr3:uid="{28767EF0-38F3-40B7-9769-8A57075DA19C}" uniqueName="4" name="Pays" queryTableFieldId="4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0571B48-9F93-44E2-8A3C-9B0F96F75C18}" name="SGI" displayName="SGI" ref="A1:C41" tableType="queryTable" totalsRowShown="0">
  <autoFilter ref="A1:C41" xr:uid="{B0571B48-9F93-44E2-8A3C-9B0F96F75C18}"/>
  <tableColumns count="3">
    <tableColumn id="1" xr3:uid="{557BD358-6EEA-4251-B9C1-99CF72B407C8}" uniqueName="1" name="#" queryTableFieldId="1"/>
    <tableColumn id="2" xr3:uid="{A34E2E8E-01CC-4C1F-82EC-1C1D9055CC3E}" uniqueName="2" name="Noms des SGI" queryTableFieldId="2" dataDxfId="1"/>
    <tableColumn id="3" xr3:uid="{22F15844-05D5-4EEF-8C77-5020C548F66E}" uniqueName="3" name="Pays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0F75-6F0E-4FFB-9E60-720A01117151}">
  <dimension ref="A1:F49"/>
  <sheetViews>
    <sheetView workbookViewId="0">
      <selection activeCell="A15" sqref="A15"/>
    </sheetView>
  </sheetViews>
  <sheetFormatPr baseColWidth="10" defaultRowHeight="13.8"/>
  <cols>
    <col min="1" max="1" width="18.59765625" bestFit="1" customWidth="1"/>
    <col min="2" max="2" width="66.09765625" bestFit="1" customWidth="1"/>
    <col min="3" max="3" width="24.3984375" bestFit="1" customWidth="1"/>
    <col min="4" max="4" width="23" bestFit="1" customWidth="1"/>
    <col min="5" max="5" width="26.59765625" bestFit="1" customWidth="1"/>
    <col min="6" max="6" width="13" bestFit="1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>
      <c r="A2" s="5" t="s">
        <v>6</v>
      </c>
      <c r="B2" s="1" t="s">
        <v>7</v>
      </c>
      <c r="C2" s="1">
        <v>7856568000</v>
      </c>
      <c r="D2" s="1">
        <v>39283200000</v>
      </c>
      <c r="E2" s="1">
        <v>0.19</v>
      </c>
      <c r="F2" s="6" t="s">
        <v>8</v>
      </c>
    </row>
    <row r="3" spans="1:6">
      <c r="A3" s="5" t="s">
        <v>9</v>
      </c>
      <c r="B3" s="1" t="s">
        <v>10</v>
      </c>
      <c r="C3" s="1">
        <v>0</v>
      </c>
      <c r="D3" s="1">
        <v>490669501000</v>
      </c>
      <c r="E3" s="1">
        <v>2.4</v>
      </c>
      <c r="F3" s="6" t="s">
        <v>11</v>
      </c>
    </row>
    <row r="4" spans="1:6">
      <c r="A4" s="5" t="s">
        <v>12</v>
      </c>
      <c r="B4" s="1" t="s">
        <v>13</v>
      </c>
      <c r="C4" s="1">
        <v>154979396000</v>
      </c>
      <c r="D4" s="1">
        <v>476666762000</v>
      </c>
      <c r="E4" s="1">
        <v>2.33</v>
      </c>
      <c r="F4" s="6" t="s">
        <v>8</v>
      </c>
    </row>
    <row r="5" spans="1:6">
      <c r="A5" s="5" t="s">
        <v>14</v>
      </c>
      <c r="B5" s="1" t="s">
        <v>15</v>
      </c>
      <c r="C5" s="1">
        <v>4603029200</v>
      </c>
      <c r="D5" s="1">
        <v>13181760000</v>
      </c>
      <c r="E5" s="1">
        <v>0.06</v>
      </c>
      <c r="F5" s="6" t="s">
        <v>8</v>
      </c>
    </row>
    <row r="6" spans="1:6">
      <c r="A6" s="5" t="s">
        <v>16</v>
      </c>
      <c r="B6" s="1" t="s">
        <v>17</v>
      </c>
      <c r="C6" s="1">
        <v>91626481800</v>
      </c>
      <c r="D6" s="1">
        <v>405204869520</v>
      </c>
      <c r="E6" s="1">
        <v>1.98</v>
      </c>
      <c r="F6" s="6" t="s">
        <v>18</v>
      </c>
    </row>
    <row r="7" spans="1:6">
      <c r="A7" s="5" t="s">
        <v>19</v>
      </c>
      <c r="B7" s="1" t="s">
        <v>20</v>
      </c>
      <c r="C7" s="1">
        <v>51223024000</v>
      </c>
      <c r="D7" s="1">
        <v>352000000000</v>
      </c>
      <c r="E7" s="1">
        <v>1.72</v>
      </c>
      <c r="F7" s="6" t="s">
        <v>21</v>
      </c>
    </row>
    <row r="8" spans="1:6">
      <c r="A8" s="5" t="s">
        <v>22</v>
      </c>
      <c r="B8" s="1" t="s">
        <v>23</v>
      </c>
      <c r="C8" s="1">
        <v>71747838400</v>
      </c>
      <c r="D8" s="1">
        <v>519400000000</v>
      </c>
      <c r="E8" s="1">
        <v>2.54</v>
      </c>
      <c r="F8" s="6" t="s">
        <v>8</v>
      </c>
    </row>
    <row r="9" spans="1:6">
      <c r="A9" s="5" t="s">
        <v>24</v>
      </c>
      <c r="B9" s="1" t="s">
        <v>25</v>
      </c>
      <c r="C9" s="1">
        <v>21702835500</v>
      </c>
      <c r="D9" s="1">
        <v>179797500000</v>
      </c>
      <c r="E9" s="1">
        <v>0.88</v>
      </c>
      <c r="F9" s="6" t="s">
        <v>26</v>
      </c>
    </row>
    <row r="10" spans="1:6">
      <c r="A10" s="5" t="s">
        <v>27</v>
      </c>
      <c r="B10" s="1" t="s">
        <v>28</v>
      </c>
      <c r="C10" s="1">
        <v>28157246200</v>
      </c>
      <c r="D10" s="1">
        <v>111176000000</v>
      </c>
      <c r="E10" s="1">
        <v>0.54</v>
      </c>
      <c r="F10" s="6" t="s">
        <v>29</v>
      </c>
    </row>
    <row r="11" spans="1:6">
      <c r="A11" s="5" t="s">
        <v>30</v>
      </c>
      <c r="B11" s="1" t="s">
        <v>31</v>
      </c>
      <c r="C11" s="1">
        <v>61368980000</v>
      </c>
      <c r="D11" s="1">
        <v>306000000000</v>
      </c>
      <c r="E11" s="1">
        <v>1.5</v>
      </c>
      <c r="F11" s="6" t="s">
        <v>32</v>
      </c>
    </row>
    <row r="12" spans="1:6">
      <c r="A12" s="5" t="s">
        <v>33</v>
      </c>
      <c r="B12" s="1" t="s">
        <v>34</v>
      </c>
      <c r="C12" s="1">
        <v>10435736000</v>
      </c>
      <c r="D12" s="1">
        <v>21430400000</v>
      </c>
      <c r="E12" s="1">
        <v>0.1</v>
      </c>
      <c r="F12" s="6" t="s">
        <v>8</v>
      </c>
    </row>
    <row r="13" spans="1:6">
      <c r="A13" s="5" t="s">
        <v>35</v>
      </c>
      <c r="B13" s="1" t="s">
        <v>36</v>
      </c>
      <c r="C13" s="1">
        <v>185600000000</v>
      </c>
      <c r="D13" s="1">
        <v>928000000000</v>
      </c>
      <c r="E13" s="1">
        <v>4.54</v>
      </c>
      <c r="F13" s="6" t="s">
        <v>37</v>
      </c>
    </row>
    <row r="14" spans="1:6">
      <c r="A14" s="5" t="s">
        <v>38</v>
      </c>
      <c r="B14" s="1" t="s">
        <v>39</v>
      </c>
      <c r="C14" s="1">
        <v>13190727500</v>
      </c>
      <c r="D14" s="1">
        <v>320121403500</v>
      </c>
      <c r="E14" s="1">
        <v>1.57</v>
      </c>
      <c r="F14" s="6" t="s">
        <v>8</v>
      </c>
    </row>
    <row r="15" spans="1:6">
      <c r="A15" s="5" t="s">
        <v>40</v>
      </c>
      <c r="B15" s="1" t="s">
        <v>41</v>
      </c>
      <c r="C15" s="1">
        <v>120800415600</v>
      </c>
      <c r="D15" s="1">
        <v>390320000000</v>
      </c>
      <c r="E15" s="1">
        <v>1.91</v>
      </c>
      <c r="F15" s="6" t="s">
        <v>8</v>
      </c>
    </row>
    <row r="16" spans="1:6">
      <c r="A16" s="5" t="s">
        <v>42</v>
      </c>
      <c r="B16" s="1" t="s">
        <v>43</v>
      </c>
      <c r="C16" s="1">
        <v>189337500000</v>
      </c>
      <c r="D16" s="1">
        <v>926501598000</v>
      </c>
      <c r="E16" s="1">
        <v>4.53</v>
      </c>
      <c r="F16" s="6" t="s">
        <v>8</v>
      </c>
    </row>
    <row r="17" spans="1:6">
      <c r="A17" s="5" t="s">
        <v>44</v>
      </c>
      <c r="B17" s="1" t="s">
        <v>45</v>
      </c>
      <c r="C17" s="1">
        <v>51780973718</v>
      </c>
      <c r="D17" s="1">
        <v>1211635150374</v>
      </c>
      <c r="E17" s="1">
        <v>5.93</v>
      </c>
      <c r="F17" s="6" t="s">
        <v>46</v>
      </c>
    </row>
    <row r="18" spans="1:6">
      <c r="A18" s="5" t="s">
        <v>47</v>
      </c>
      <c r="B18" s="1" t="s">
        <v>48</v>
      </c>
      <c r="C18" s="1">
        <v>10151397000</v>
      </c>
      <c r="D18" s="1">
        <v>30323041000</v>
      </c>
      <c r="E18" s="1">
        <v>0.15</v>
      </c>
      <c r="F18" s="6" t="s">
        <v>8</v>
      </c>
    </row>
    <row r="19" spans="1:6">
      <c r="A19" s="5" t="s">
        <v>49</v>
      </c>
      <c r="B19" s="1" t="s">
        <v>50</v>
      </c>
      <c r="C19" s="1">
        <v>0</v>
      </c>
      <c r="D19" s="1">
        <v>81500000000</v>
      </c>
      <c r="E19" s="1">
        <v>0.4</v>
      </c>
      <c r="F19" s="6" t="s">
        <v>11</v>
      </c>
    </row>
    <row r="20" spans="1:6">
      <c r="A20" s="5" t="s">
        <v>51</v>
      </c>
      <c r="B20" s="1" t="s">
        <v>52</v>
      </c>
      <c r="C20" s="1">
        <v>5741437500</v>
      </c>
      <c r="D20" s="1">
        <v>31914562500</v>
      </c>
      <c r="E20" s="1">
        <v>0.16</v>
      </c>
      <c r="F20" s="6" t="s">
        <v>8</v>
      </c>
    </row>
    <row r="21" spans="1:6">
      <c r="A21" s="5" t="s">
        <v>53</v>
      </c>
      <c r="B21" s="1" t="s">
        <v>54</v>
      </c>
      <c r="C21" s="1">
        <v>105680576400</v>
      </c>
      <c r="D21" s="1">
        <v>563948241600</v>
      </c>
      <c r="E21" s="1">
        <v>2.76</v>
      </c>
      <c r="F21" s="6" t="s">
        <v>8</v>
      </c>
    </row>
    <row r="22" spans="1:6">
      <c r="A22" s="5" t="s">
        <v>55</v>
      </c>
      <c r="B22" s="1" t="s">
        <v>56</v>
      </c>
      <c r="C22" s="1">
        <v>74747686000</v>
      </c>
      <c r="D22" s="1">
        <v>372989760000</v>
      </c>
      <c r="E22" s="1">
        <v>1.82</v>
      </c>
      <c r="F22" s="6" t="s">
        <v>8</v>
      </c>
    </row>
    <row r="23" spans="1:6">
      <c r="A23" s="5" t="s">
        <v>57</v>
      </c>
      <c r="B23" s="1" t="s">
        <v>58</v>
      </c>
      <c r="C23" s="1">
        <v>45199600000</v>
      </c>
      <c r="D23" s="1">
        <v>196520000000</v>
      </c>
      <c r="E23" s="1">
        <v>0.96</v>
      </c>
      <c r="F23" s="6" t="s">
        <v>8</v>
      </c>
    </row>
    <row r="24" spans="1:6">
      <c r="A24" s="5" t="s">
        <v>59</v>
      </c>
      <c r="B24" s="1" t="s">
        <v>60</v>
      </c>
      <c r="C24" s="1">
        <v>638778684000</v>
      </c>
      <c r="D24" s="1">
        <v>3193893420000</v>
      </c>
      <c r="E24" s="1">
        <v>15.63</v>
      </c>
      <c r="F24" s="6" t="s">
        <v>8</v>
      </c>
    </row>
    <row r="25" spans="1:6">
      <c r="A25" s="5" t="s">
        <v>61</v>
      </c>
      <c r="B25" s="1" t="s">
        <v>62</v>
      </c>
      <c r="C25" s="1">
        <v>44286792330</v>
      </c>
      <c r="D25" s="1">
        <v>221433948890</v>
      </c>
      <c r="E25" s="1">
        <v>1.08</v>
      </c>
      <c r="F25" s="6" t="s">
        <v>46</v>
      </c>
    </row>
    <row r="26" spans="1:6">
      <c r="A26" s="5" t="s">
        <v>63</v>
      </c>
      <c r="B26" s="1" t="s">
        <v>64</v>
      </c>
      <c r="C26" s="1">
        <v>48312345000</v>
      </c>
      <c r="D26" s="1">
        <v>146863502000</v>
      </c>
      <c r="E26" s="1">
        <v>0.72</v>
      </c>
      <c r="F26" s="6" t="s">
        <v>8</v>
      </c>
    </row>
    <row r="27" spans="1:6">
      <c r="A27" s="5" t="s">
        <v>65</v>
      </c>
      <c r="B27" s="1" t="s">
        <v>66</v>
      </c>
      <c r="C27" s="1">
        <v>12538028160</v>
      </c>
      <c r="D27" s="1">
        <v>45772800000</v>
      </c>
      <c r="E27" s="1">
        <v>0.22</v>
      </c>
      <c r="F27" s="6" t="s">
        <v>8</v>
      </c>
    </row>
    <row r="28" spans="1:6">
      <c r="A28" s="5" t="s">
        <v>67</v>
      </c>
      <c r="B28" s="1" t="s">
        <v>68</v>
      </c>
      <c r="C28" s="1">
        <v>13859970000</v>
      </c>
      <c r="D28" s="1">
        <v>68844550000</v>
      </c>
      <c r="E28" s="1">
        <v>0.34</v>
      </c>
      <c r="F28" s="6" t="s">
        <v>8</v>
      </c>
    </row>
    <row r="29" spans="1:6">
      <c r="A29" s="5" t="s">
        <v>69</v>
      </c>
      <c r="B29" s="1" t="s">
        <v>70</v>
      </c>
      <c r="C29" s="1">
        <v>15146880000</v>
      </c>
      <c r="D29" s="1">
        <v>65856000000</v>
      </c>
      <c r="E29" s="1">
        <v>0.32</v>
      </c>
      <c r="F29" s="6" t="s">
        <v>8</v>
      </c>
    </row>
    <row r="30" spans="1:6">
      <c r="A30" s="5" t="s">
        <v>71</v>
      </c>
      <c r="B30" s="1" t="s">
        <v>72</v>
      </c>
      <c r="C30" s="1">
        <v>53496960000</v>
      </c>
      <c r="D30" s="1">
        <v>108000000000</v>
      </c>
      <c r="E30" s="1">
        <v>0.53</v>
      </c>
      <c r="F30" s="6" t="s">
        <v>8</v>
      </c>
    </row>
    <row r="31" spans="1:6">
      <c r="A31" s="5" t="s">
        <v>73</v>
      </c>
      <c r="B31" s="1" t="s">
        <v>74</v>
      </c>
      <c r="C31" s="1">
        <v>32633415000</v>
      </c>
      <c r="D31" s="1">
        <v>146975310000</v>
      </c>
      <c r="E31" s="1">
        <v>0.72</v>
      </c>
      <c r="F31" s="6" t="s">
        <v>8</v>
      </c>
    </row>
    <row r="32" spans="1:6">
      <c r="A32" s="5" t="s">
        <v>75</v>
      </c>
      <c r="B32" s="1" t="s">
        <v>76</v>
      </c>
      <c r="C32" s="1">
        <v>4066704000</v>
      </c>
      <c r="D32" s="1">
        <v>39043880000</v>
      </c>
      <c r="E32" s="1">
        <v>0.19</v>
      </c>
      <c r="F32" s="6" t="s">
        <v>8</v>
      </c>
    </row>
    <row r="33" spans="1:6">
      <c r="A33" s="5" t="s">
        <v>77</v>
      </c>
      <c r="B33" s="1" t="s">
        <v>78</v>
      </c>
      <c r="C33" s="1">
        <v>525804729600</v>
      </c>
      <c r="D33" s="1">
        <v>1212866623350</v>
      </c>
      <c r="E33" s="1">
        <v>5.93</v>
      </c>
      <c r="F33" s="6" t="s">
        <v>8</v>
      </c>
    </row>
    <row r="34" spans="1:6">
      <c r="A34" s="5" t="s">
        <v>79</v>
      </c>
      <c r="B34" s="1" t="s">
        <v>80</v>
      </c>
      <c r="C34" s="1">
        <v>44268000000</v>
      </c>
      <c r="D34" s="1">
        <v>156240000000</v>
      </c>
      <c r="E34" s="1">
        <v>0.76</v>
      </c>
      <c r="F34" s="6" t="s">
        <v>8</v>
      </c>
    </row>
    <row r="35" spans="1:6">
      <c r="A35" s="5" t="s">
        <v>81</v>
      </c>
      <c r="B35" s="1" t="s">
        <v>82</v>
      </c>
      <c r="C35" s="1">
        <v>91000000000</v>
      </c>
      <c r="D35" s="1">
        <v>910000000000</v>
      </c>
      <c r="E35" s="1">
        <v>4.45</v>
      </c>
      <c r="F35" s="6" t="s">
        <v>8</v>
      </c>
    </row>
    <row r="36" spans="1:6">
      <c r="A36" s="5" t="s">
        <v>83</v>
      </c>
      <c r="B36" s="1" t="s">
        <v>84</v>
      </c>
      <c r="C36" s="1">
        <v>603304830</v>
      </c>
      <c r="D36" s="1">
        <v>4803000000</v>
      </c>
      <c r="E36" s="1">
        <v>0.02</v>
      </c>
      <c r="F36" s="6" t="s">
        <v>8</v>
      </c>
    </row>
    <row r="37" spans="1:6">
      <c r="A37" s="5" t="s">
        <v>85</v>
      </c>
      <c r="B37" s="1" t="s">
        <v>86</v>
      </c>
      <c r="C37" s="1">
        <v>5803868000</v>
      </c>
      <c r="D37" s="1">
        <v>20786920000</v>
      </c>
      <c r="E37" s="1">
        <v>0.1</v>
      </c>
      <c r="F37" s="6" t="s">
        <v>8</v>
      </c>
    </row>
    <row r="38" spans="1:6">
      <c r="A38" s="5" t="s">
        <v>87</v>
      </c>
      <c r="B38" s="1" t="s">
        <v>88</v>
      </c>
      <c r="C38" s="1">
        <v>11498711200</v>
      </c>
      <c r="D38" s="1">
        <v>618104542000</v>
      </c>
      <c r="E38" s="1">
        <v>3.02</v>
      </c>
      <c r="F38" s="6" t="s">
        <v>8</v>
      </c>
    </row>
    <row r="39" spans="1:6">
      <c r="A39" s="5" t="s">
        <v>89</v>
      </c>
      <c r="B39" s="1" t="s">
        <v>90</v>
      </c>
      <c r="C39" s="1">
        <v>21614208000</v>
      </c>
      <c r="D39" s="1">
        <v>130959360000</v>
      </c>
      <c r="E39" s="1">
        <v>0.64</v>
      </c>
      <c r="F39" s="6" t="s">
        <v>8</v>
      </c>
    </row>
    <row r="40" spans="1:6">
      <c r="A40" s="5" t="s">
        <v>91</v>
      </c>
      <c r="B40" s="1" t="s">
        <v>92</v>
      </c>
      <c r="C40" s="1">
        <v>798971714000</v>
      </c>
      <c r="D40" s="1">
        <v>3650000000000</v>
      </c>
      <c r="E40" s="1">
        <v>17.86</v>
      </c>
      <c r="F40" s="6" t="s">
        <v>93</v>
      </c>
    </row>
    <row r="41" spans="1:6">
      <c r="A41" s="5" t="s">
        <v>94</v>
      </c>
      <c r="B41" s="1" t="s">
        <v>95</v>
      </c>
      <c r="C41" s="1">
        <v>47832427500</v>
      </c>
      <c r="D41" s="1">
        <v>178215180000</v>
      </c>
      <c r="E41" s="1">
        <v>0.87</v>
      </c>
      <c r="F41" s="6" t="s">
        <v>8</v>
      </c>
    </row>
    <row r="42" spans="1:6">
      <c r="A42" s="5" t="s">
        <v>96</v>
      </c>
      <c r="B42" s="1" t="s">
        <v>97</v>
      </c>
      <c r="C42" s="1">
        <v>55648277500</v>
      </c>
      <c r="D42" s="1">
        <v>236411546250</v>
      </c>
      <c r="E42" s="1">
        <v>1.1599999999999999</v>
      </c>
      <c r="F42" s="6" t="s">
        <v>8</v>
      </c>
    </row>
    <row r="43" spans="1:6">
      <c r="A43" s="5" t="s">
        <v>98</v>
      </c>
      <c r="B43" s="1" t="s">
        <v>99</v>
      </c>
      <c r="C43" s="1">
        <v>7266000000</v>
      </c>
      <c r="D43" s="1">
        <v>34876800000</v>
      </c>
      <c r="E43" s="1">
        <v>0.17</v>
      </c>
      <c r="F43" s="6" t="s">
        <v>8</v>
      </c>
    </row>
    <row r="44" spans="1:6">
      <c r="A44" s="5" t="s">
        <v>100</v>
      </c>
      <c r="B44" s="1" t="s">
        <v>101</v>
      </c>
      <c r="C44" s="1">
        <v>110811726000</v>
      </c>
      <c r="D44" s="1">
        <v>411169500000</v>
      </c>
      <c r="E44" s="1">
        <v>2.0099999999999998</v>
      </c>
      <c r="F44" s="6" t="s">
        <v>8</v>
      </c>
    </row>
    <row r="45" spans="1:6">
      <c r="A45" s="5" t="s">
        <v>102</v>
      </c>
      <c r="B45" s="1" t="s">
        <v>103</v>
      </c>
      <c r="C45" s="1">
        <v>57822440000</v>
      </c>
      <c r="D45" s="1">
        <v>214069440000</v>
      </c>
      <c r="E45" s="1">
        <v>1.05</v>
      </c>
      <c r="F45" s="6" t="s">
        <v>8</v>
      </c>
    </row>
    <row r="46" spans="1:6">
      <c r="A46" s="5" t="s">
        <v>104</v>
      </c>
      <c r="B46" s="1" t="s">
        <v>105</v>
      </c>
      <c r="C46" s="1">
        <v>38704050000</v>
      </c>
      <c r="D46" s="1">
        <v>125424145000</v>
      </c>
      <c r="E46" s="1">
        <v>0.61</v>
      </c>
      <c r="F46" s="6" t="s">
        <v>93</v>
      </c>
    </row>
    <row r="47" spans="1:6">
      <c r="A47" s="5" t="s">
        <v>106</v>
      </c>
      <c r="B47" s="1" t="s">
        <v>107</v>
      </c>
      <c r="C47" s="1">
        <v>7978561200</v>
      </c>
      <c r="D47" s="1">
        <v>479373480000</v>
      </c>
      <c r="E47" s="1">
        <v>2.35</v>
      </c>
      <c r="F47" s="6" t="s">
        <v>8</v>
      </c>
    </row>
    <row r="48" spans="1:6">
      <c r="A48" s="5" t="s">
        <v>108</v>
      </c>
      <c r="B48" s="1" t="s">
        <v>109</v>
      </c>
      <c r="C48" s="1">
        <v>14346250000</v>
      </c>
      <c r="D48" s="1">
        <v>51771250000</v>
      </c>
      <c r="E48" s="1">
        <v>0.25</v>
      </c>
      <c r="F48" s="6" t="s">
        <v>8</v>
      </c>
    </row>
    <row r="49" spans="1:6">
      <c r="A49" s="7" t="s">
        <v>111</v>
      </c>
      <c r="B49" s="8" t="s">
        <v>110</v>
      </c>
      <c r="C49" s="8">
        <f>SUM(C2:C48)</f>
        <v>4009025495138</v>
      </c>
      <c r="D49" s="8">
        <f>SUM(D2:D48)</f>
        <v>20440338946984</v>
      </c>
      <c r="E49" s="8">
        <f>SUM(E2:E48)</f>
        <v>99.969999999999985</v>
      </c>
      <c r="F4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BFE44-90DD-4E80-B6CC-9D68FE9A35A5}">
  <dimension ref="A1:D12"/>
  <sheetViews>
    <sheetView workbookViewId="0">
      <selection activeCell="A21" sqref="A21:D21"/>
    </sheetView>
  </sheetViews>
  <sheetFormatPr baseColWidth="10" defaultRowHeight="13.8"/>
  <cols>
    <col min="1" max="1" width="11.09765625" bestFit="1" customWidth="1"/>
    <col min="2" max="2" width="40.59765625" bestFit="1" customWidth="1"/>
    <col min="3" max="3" width="12.09765625" bestFit="1" customWidth="1"/>
    <col min="4" max="4" width="7.3984375" bestFit="1" customWidth="1"/>
  </cols>
  <sheetData>
    <row r="1" spans="1:4">
      <c r="A1" s="2" t="s">
        <v>112</v>
      </c>
      <c r="B1" s="3" t="s">
        <v>113</v>
      </c>
      <c r="C1" s="3" t="s">
        <v>114</v>
      </c>
      <c r="D1" s="4" t="s">
        <v>115</v>
      </c>
    </row>
    <row r="2" spans="1:4">
      <c r="A2" s="5" t="s">
        <v>116</v>
      </c>
      <c r="B2" s="1" t="s">
        <v>117</v>
      </c>
      <c r="C2" s="1" t="s">
        <v>118</v>
      </c>
      <c r="D2" s="6" t="s">
        <v>46</v>
      </c>
    </row>
    <row r="3" spans="1:4">
      <c r="A3" s="5" t="s">
        <v>119</v>
      </c>
      <c r="B3" s="1" t="s">
        <v>120</v>
      </c>
      <c r="C3" s="1" t="s">
        <v>118</v>
      </c>
      <c r="D3" s="6" t="s">
        <v>46</v>
      </c>
    </row>
    <row r="4" spans="1:4">
      <c r="A4" s="5" t="s">
        <v>121</v>
      </c>
      <c r="B4" s="1" t="s">
        <v>122</v>
      </c>
      <c r="C4" s="1" t="s">
        <v>118</v>
      </c>
      <c r="D4" s="6" t="s">
        <v>46</v>
      </c>
    </row>
    <row r="5" spans="1:4">
      <c r="A5" s="5" t="s">
        <v>123</v>
      </c>
      <c r="B5" s="1" t="s">
        <v>124</v>
      </c>
      <c r="C5" s="1" t="s">
        <v>118</v>
      </c>
      <c r="D5" s="6" t="s">
        <v>46</v>
      </c>
    </row>
    <row r="6" spans="1:4">
      <c r="A6" s="5" t="s">
        <v>125</v>
      </c>
      <c r="B6" s="1" t="s">
        <v>126</v>
      </c>
      <c r="C6" s="1" t="s">
        <v>118</v>
      </c>
      <c r="D6" s="6" t="s">
        <v>46</v>
      </c>
    </row>
    <row r="7" spans="1:4">
      <c r="A7" s="5" t="s">
        <v>127</v>
      </c>
      <c r="B7" s="1" t="s">
        <v>128</v>
      </c>
      <c r="C7" s="1" t="s">
        <v>118</v>
      </c>
      <c r="D7" s="6" t="s">
        <v>46</v>
      </c>
    </row>
    <row r="8" spans="1:4">
      <c r="A8" s="5" t="s">
        <v>129</v>
      </c>
      <c r="B8" s="1" t="s">
        <v>130</v>
      </c>
      <c r="C8" s="1" t="s">
        <v>118</v>
      </c>
      <c r="D8" s="6" t="s">
        <v>46</v>
      </c>
    </row>
    <row r="9" spans="1:4">
      <c r="A9" s="5" t="s">
        <v>131</v>
      </c>
      <c r="B9" s="1" t="s">
        <v>132</v>
      </c>
      <c r="C9" s="1" t="s">
        <v>118</v>
      </c>
      <c r="D9" s="6" t="s">
        <v>46</v>
      </c>
    </row>
    <row r="10" spans="1:4">
      <c r="A10" s="5" t="s">
        <v>133</v>
      </c>
      <c r="B10" s="1" t="s">
        <v>134</v>
      </c>
      <c r="C10" s="1" t="s">
        <v>118</v>
      </c>
      <c r="D10" s="6" t="s">
        <v>46</v>
      </c>
    </row>
    <row r="11" spans="1:4">
      <c r="A11" s="5" t="s">
        <v>135</v>
      </c>
      <c r="B11" s="1" t="s">
        <v>136</v>
      </c>
      <c r="C11" s="1" t="s">
        <v>118</v>
      </c>
      <c r="D11" s="6" t="s">
        <v>46</v>
      </c>
    </row>
    <row r="12" spans="1:4">
      <c r="A12" s="7" t="s">
        <v>137</v>
      </c>
      <c r="B12" s="8" t="s">
        <v>138</v>
      </c>
      <c r="C12" s="8" t="s">
        <v>118</v>
      </c>
      <c r="D12" s="9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0A9DD-125F-4307-8DFD-1840FB52375A}">
  <dimension ref="A1:D3"/>
  <sheetViews>
    <sheetView workbookViewId="0">
      <selection activeCell="E9" sqref="E9"/>
    </sheetView>
  </sheetViews>
  <sheetFormatPr baseColWidth="10" defaultRowHeight="13.8"/>
  <cols>
    <col min="1" max="1" width="11.09765625" bestFit="1" customWidth="1"/>
    <col min="2" max="2" width="23.59765625" bestFit="1" customWidth="1"/>
    <col min="3" max="3" width="12.09765625" bestFit="1" customWidth="1"/>
    <col min="4" max="4" width="7.3984375" bestFit="1" customWidth="1"/>
  </cols>
  <sheetData>
    <row r="1" spans="1:4">
      <c r="A1" s="2" t="s">
        <v>112</v>
      </c>
      <c r="B1" s="3" t="s">
        <v>113</v>
      </c>
      <c r="C1" s="3" t="s">
        <v>114</v>
      </c>
      <c r="D1" s="4" t="s">
        <v>115</v>
      </c>
    </row>
    <row r="2" spans="1:4">
      <c r="A2" s="5" t="s">
        <v>139</v>
      </c>
      <c r="B2" s="1" t="s">
        <v>140</v>
      </c>
      <c r="C2" s="1" t="s">
        <v>141</v>
      </c>
      <c r="D2" s="6" t="s">
        <v>46</v>
      </c>
    </row>
    <row r="3" spans="1:4">
      <c r="A3" s="7" t="s">
        <v>142</v>
      </c>
      <c r="B3" s="8" t="s">
        <v>143</v>
      </c>
      <c r="C3" s="8" t="s">
        <v>141</v>
      </c>
      <c r="D3" s="9" t="s">
        <v>144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0D3DD-59CE-4BF7-B915-5663A7D9DF9A}">
  <dimension ref="A1:D12"/>
  <sheetViews>
    <sheetView workbookViewId="0">
      <selection sqref="A1:A1048576"/>
    </sheetView>
  </sheetViews>
  <sheetFormatPr baseColWidth="10" defaultRowHeight="13.8"/>
  <cols>
    <col min="2" max="2" width="57.69921875" bestFit="1" customWidth="1"/>
    <col min="3" max="3" width="12.09765625" bestFit="1" customWidth="1"/>
    <col min="4" max="4" width="13" bestFit="1" customWidth="1"/>
  </cols>
  <sheetData>
    <row r="1" spans="1:4">
      <c r="A1" t="s">
        <v>112</v>
      </c>
      <c r="B1" t="s">
        <v>113</v>
      </c>
      <c r="C1" t="s">
        <v>114</v>
      </c>
      <c r="D1" t="s">
        <v>115</v>
      </c>
    </row>
    <row r="2" spans="1:4">
      <c r="A2" t="s">
        <v>145</v>
      </c>
      <c r="B2" t="s">
        <v>146</v>
      </c>
      <c r="C2" t="s">
        <v>147</v>
      </c>
      <c r="D2" t="s">
        <v>93</v>
      </c>
    </row>
    <row r="3" spans="1:4">
      <c r="A3" t="s">
        <v>148</v>
      </c>
      <c r="B3" t="s">
        <v>149</v>
      </c>
      <c r="C3" t="s">
        <v>147</v>
      </c>
      <c r="D3" t="s">
        <v>8</v>
      </c>
    </row>
    <row r="4" spans="1:4">
      <c r="A4" t="s">
        <v>150</v>
      </c>
      <c r="B4" t="s">
        <v>151</v>
      </c>
      <c r="C4" t="s">
        <v>147</v>
      </c>
      <c r="D4" t="s">
        <v>37</v>
      </c>
    </row>
    <row r="5" spans="1:4">
      <c r="A5" t="s">
        <v>152</v>
      </c>
      <c r="B5" t="s">
        <v>153</v>
      </c>
      <c r="C5" t="s">
        <v>147</v>
      </c>
      <c r="D5" t="s">
        <v>21</v>
      </c>
    </row>
    <row r="6" spans="1:4">
      <c r="A6" t="s">
        <v>154</v>
      </c>
      <c r="B6" t="s">
        <v>155</v>
      </c>
      <c r="C6" t="s">
        <v>147</v>
      </c>
      <c r="D6" t="s">
        <v>21</v>
      </c>
    </row>
    <row r="7" spans="1:4">
      <c r="A7" t="s">
        <v>156</v>
      </c>
      <c r="B7" t="s">
        <v>157</v>
      </c>
      <c r="C7" t="s">
        <v>147</v>
      </c>
      <c r="D7" t="s">
        <v>8</v>
      </c>
    </row>
    <row r="8" spans="1:4">
      <c r="A8" t="s">
        <v>158</v>
      </c>
      <c r="B8" t="s">
        <v>159</v>
      </c>
      <c r="C8" t="s">
        <v>147</v>
      </c>
      <c r="D8" t="s">
        <v>46</v>
      </c>
    </row>
    <row r="9" spans="1:4">
      <c r="A9" t="s">
        <v>160</v>
      </c>
      <c r="B9" t="s">
        <v>161</v>
      </c>
      <c r="C9" t="s">
        <v>147</v>
      </c>
      <c r="D9" t="s">
        <v>93</v>
      </c>
    </row>
    <row r="10" spans="1:4">
      <c r="A10" t="s">
        <v>162</v>
      </c>
      <c r="B10" t="s">
        <v>163</v>
      </c>
      <c r="C10" t="s">
        <v>147</v>
      </c>
      <c r="D10" t="s">
        <v>8</v>
      </c>
    </row>
    <row r="11" spans="1:4">
      <c r="A11" t="s">
        <v>164</v>
      </c>
      <c r="B11" t="s">
        <v>165</v>
      </c>
      <c r="C11" t="s">
        <v>147</v>
      </c>
      <c r="D11" t="s">
        <v>8</v>
      </c>
    </row>
    <row r="12" spans="1:4">
      <c r="A12" t="s">
        <v>166</v>
      </c>
      <c r="B12" t="s">
        <v>167</v>
      </c>
      <c r="C12" t="s">
        <v>147</v>
      </c>
      <c r="D12" t="s">
        <v>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1CB6-F3F8-4D24-9843-5D9A17BD12C3}">
  <dimension ref="A1:D165"/>
  <sheetViews>
    <sheetView tabSelected="1" topLeftCell="A52" workbookViewId="0">
      <selection activeCell="E83" sqref="E83"/>
    </sheetView>
  </sheetViews>
  <sheetFormatPr baseColWidth="10" defaultRowHeight="13.8"/>
  <cols>
    <col min="1" max="1" width="11.09765625" bestFit="1" customWidth="1"/>
    <col min="2" max="2" width="31.59765625" bestFit="1" customWidth="1"/>
    <col min="3" max="3" width="12.09765625" bestFit="1" customWidth="1"/>
    <col min="4" max="4" width="13" bestFit="1" customWidth="1"/>
  </cols>
  <sheetData>
    <row r="1" spans="1:4">
      <c r="A1" s="2" t="s">
        <v>112</v>
      </c>
      <c r="B1" s="3" t="s">
        <v>113</v>
      </c>
      <c r="C1" s="4" t="s">
        <v>114</v>
      </c>
      <c r="D1" t="s">
        <v>115</v>
      </c>
    </row>
    <row r="2" spans="1:4">
      <c r="A2" s="5" t="s">
        <v>168</v>
      </c>
      <c r="B2" s="1" t="s">
        <v>169</v>
      </c>
      <c r="C2" s="6" t="s">
        <v>170</v>
      </c>
      <c r="D2" t="s">
        <v>207</v>
      </c>
    </row>
    <row r="3" spans="1:4">
      <c r="A3" s="5" t="s">
        <v>171</v>
      </c>
      <c r="B3" s="1" t="s">
        <v>172</v>
      </c>
      <c r="C3" s="6" t="s">
        <v>170</v>
      </c>
      <c r="D3" t="s">
        <v>207</v>
      </c>
    </row>
    <row r="4" spans="1:4">
      <c r="A4" s="5" t="s">
        <v>173</v>
      </c>
      <c r="B4" s="1" t="s">
        <v>174</v>
      </c>
      <c r="C4" s="6" t="s">
        <v>170</v>
      </c>
      <c r="D4" t="s">
        <v>207</v>
      </c>
    </row>
    <row r="5" spans="1:4">
      <c r="A5" s="5" t="s">
        <v>175</v>
      </c>
      <c r="B5" s="1" t="s">
        <v>176</v>
      </c>
      <c r="C5" s="6" t="s">
        <v>170</v>
      </c>
      <c r="D5" t="s">
        <v>207</v>
      </c>
    </row>
    <row r="6" spans="1:4">
      <c r="A6" s="5" t="s">
        <v>177</v>
      </c>
      <c r="B6" s="1" t="s">
        <v>178</v>
      </c>
      <c r="C6" s="6" t="s">
        <v>170</v>
      </c>
      <c r="D6" t="s">
        <v>207</v>
      </c>
    </row>
    <row r="7" spans="1:4">
      <c r="A7" s="5" t="s">
        <v>179</v>
      </c>
      <c r="B7" s="1" t="s">
        <v>180</v>
      </c>
      <c r="C7" s="6" t="s">
        <v>170</v>
      </c>
      <c r="D7" t="s">
        <v>207</v>
      </c>
    </row>
    <row r="8" spans="1:4">
      <c r="A8" s="5" t="s">
        <v>181</v>
      </c>
      <c r="B8" s="1" t="s">
        <v>182</v>
      </c>
      <c r="C8" s="6" t="s">
        <v>170</v>
      </c>
      <c r="D8" t="s">
        <v>207</v>
      </c>
    </row>
    <row r="9" spans="1:4">
      <c r="A9" s="5" t="s">
        <v>183</v>
      </c>
      <c r="B9" s="1" t="s">
        <v>184</v>
      </c>
      <c r="C9" s="6" t="s">
        <v>170</v>
      </c>
      <c r="D9" t="s">
        <v>207</v>
      </c>
    </row>
    <row r="10" spans="1:4">
      <c r="A10" s="5" t="s">
        <v>185</v>
      </c>
      <c r="B10" s="1" t="s">
        <v>186</v>
      </c>
      <c r="C10" s="6" t="s">
        <v>170</v>
      </c>
      <c r="D10" t="s">
        <v>207</v>
      </c>
    </row>
    <row r="11" spans="1:4">
      <c r="A11" s="5" t="s">
        <v>187</v>
      </c>
      <c r="B11" s="1" t="s">
        <v>184</v>
      </c>
      <c r="C11" s="6" t="s">
        <v>170</v>
      </c>
      <c r="D11" t="s">
        <v>207</v>
      </c>
    </row>
    <row r="12" spans="1:4">
      <c r="A12" s="5" t="s">
        <v>188</v>
      </c>
      <c r="B12" s="1" t="s">
        <v>186</v>
      </c>
      <c r="C12" s="6" t="s">
        <v>170</v>
      </c>
      <c r="D12" t="s">
        <v>207</v>
      </c>
    </row>
    <row r="13" spans="1:4">
      <c r="A13" s="5" t="s">
        <v>189</v>
      </c>
      <c r="B13" s="1" t="s">
        <v>190</v>
      </c>
      <c r="C13" s="6" t="s">
        <v>170</v>
      </c>
      <c r="D13" t="s">
        <v>207</v>
      </c>
    </row>
    <row r="14" spans="1:4">
      <c r="A14" s="5" t="s">
        <v>191</v>
      </c>
      <c r="B14" s="1" t="s">
        <v>192</v>
      </c>
      <c r="C14" s="6" t="s">
        <v>170</v>
      </c>
      <c r="D14" t="s">
        <v>207</v>
      </c>
    </row>
    <row r="15" spans="1:4">
      <c r="A15" s="5" t="s">
        <v>193</v>
      </c>
      <c r="B15" s="1" t="s">
        <v>194</v>
      </c>
      <c r="C15" s="6" t="s">
        <v>170</v>
      </c>
      <c r="D15" t="s">
        <v>207</v>
      </c>
    </row>
    <row r="16" spans="1:4">
      <c r="A16" s="5" t="s">
        <v>195</v>
      </c>
      <c r="B16" s="1" t="s">
        <v>196</v>
      </c>
      <c r="C16" s="6" t="s">
        <v>170</v>
      </c>
      <c r="D16" t="s">
        <v>207</v>
      </c>
    </row>
    <row r="17" spans="1:4">
      <c r="A17" s="5" t="s">
        <v>197</v>
      </c>
      <c r="B17" s="1" t="s">
        <v>198</v>
      </c>
      <c r="C17" s="6" t="s">
        <v>170</v>
      </c>
      <c r="D17" t="s">
        <v>207</v>
      </c>
    </row>
    <row r="18" spans="1:4">
      <c r="A18" s="5" t="s">
        <v>199</v>
      </c>
      <c r="B18" s="1" t="s">
        <v>200</v>
      </c>
      <c r="C18" s="6" t="s">
        <v>170</v>
      </c>
      <c r="D18" t="s">
        <v>207</v>
      </c>
    </row>
    <row r="19" spans="1:4">
      <c r="A19" s="5" t="s">
        <v>201</v>
      </c>
      <c r="B19" s="1" t="s">
        <v>202</v>
      </c>
      <c r="C19" s="6" t="s">
        <v>170</v>
      </c>
      <c r="D19" t="s">
        <v>207</v>
      </c>
    </row>
    <row r="20" spans="1:4">
      <c r="A20" s="5" t="s">
        <v>203</v>
      </c>
      <c r="B20" s="1" t="s">
        <v>204</v>
      </c>
      <c r="C20" s="6" t="s">
        <v>170</v>
      </c>
      <c r="D20" t="s">
        <v>207</v>
      </c>
    </row>
    <row r="21" spans="1:4">
      <c r="A21" s="7" t="s">
        <v>205</v>
      </c>
      <c r="B21" s="8" t="s">
        <v>206</v>
      </c>
      <c r="C21" s="9" t="s">
        <v>170</v>
      </c>
      <c r="D21" t="s">
        <v>93</v>
      </c>
    </row>
    <row r="22" spans="1:4">
      <c r="A22" s="5" t="s">
        <v>208</v>
      </c>
      <c r="B22" s="1" t="s">
        <v>209</v>
      </c>
      <c r="C22" s="6" t="s">
        <v>170</v>
      </c>
      <c r="D22" t="s">
        <v>93</v>
      </c>
    </row>
    <row r="23" spans="1:4">
      <c r="A23" s="5" t="s">
        <v>210</v>
      </c>
      <c r="B23" s="1" t="s">
        <v>211</v>
      </c>
      <c r="C23" s="6" t="s">
        <v>170</v>
      </c>
      <c r="D23" t="s">
        <v>93</v>
      </c>
    </row>
    <row r="24" spans="1:4">
      <c r="A24" s="5" t="s">
        <v>212</v>
      </c>
      <c r="B24" s="1" t="s">
        <v>213</v>
      </c>
      <c r="C24" s="6" t="s">
        <v>170</v>
      </c>
      <c r="D24" t="s">
        <v>93</v>
      </c>
    </row>
    <row r="25" spans="1:4">
      <c r="A25" s="5" t="s">
        <v>214</v>
      </c>
      <c r="B25" s="1" t="s">
        <v>215</v>
      </c>
      <c r="C25" s="6" t="s">
        <v>170</v>
      </c>
      <c r="D25" t="s">
        <v>93</v>
      </c>
    </row>
    <row r="26" spans="1:4">
      <c r="A26" s="5" t="s">
        <v>216</v>
      </c>
      <c r="B26" s="1" t="s">
        <v>217</v>
      </c>
      <c r="C26" s="6" t="s">
        <v>170</v>
      </c>
      <c r="D26" t="s">
        <v>93</v>
      </c>
    </row>
    <row r="27" spans="1:4">
      <c r="A27" s="5" t="s">
        <v>218</v>
      </c>
      <c r="B27" s="1" t="s">
        <v>219</v>
      </c>
      <c r="C27" s="6" t="s">
        <v>170</v>
      </c>
      <c r="D27" t="s">
        <v>93</v>
      </c>
    </row>
    <row r="28" spans="1:4">
      <c r="A28" s="5" t="s">
        <v>220</v>
      </c>
      <c r="B28" s="1" t="s">
        <v>221</v>
      </c>
      <c r="C28" s="6" t="s">
        <v>170</v>
      </c>
      <c r="D28" t="s">
        <v>93</v>
      </c>
    </row>
    <row r="29" spans="1:4">
      <c r="A29" s="5" t="s">
        <v>222</v>
      </c>
      <c r="B29" s="1" t="s">
        <v>223</v>
      </c>
      <c r="C29" s="6" t="s">
        <v>170</v>
      </c>
      <c r="D29" t="s">
        <v>93</v>
      </c>
    </row>
    <row r="30" spans="1:4">
      <c r="A30" s="5" t="s">
        <v>224</v>
      </c>
      <c r="B30" s="1" t="s">
        <v>225</v>
      </c>
      <c r="C30" s="6" t="s">
        <v>170</v>
      </c>
      <c r="D30" t="s">
        <v>93</v>
      </c>
    </row>
    <row r="31" spans="1:4">
      <c r="A31" s="5" t="s">
        <v>226</v>
      </c>
      <c r="B31" s="1" t="s">
        <v>227</v>
      </c>
      <c r="C31" s="6" t="s">
        <v>170</v>
      </c>
      <c r="D31" t="s">
        <v>93</v>
      </c>
    </row>
    <row r="32" spans="1:4">
      <c r="A32" s="5" t="s">
        <v>228</v>
      </c>
      <c r="B32" s="1" t="s">
        <v>229</v>
      </c>
      <c r="C32" s="6" t="s">
        <v>170</v>
      </c>
      <c r="D32" t="s">
        <v>93</v>
      </c>
    </row>
    <row r="33" spans="1:4">
      <c r="A33" s="5" t="s">
        <v>230</v>
      </c>
      <c r="B33" s="1" t="s">
        <v>223</v>
      </c>
      <c r="C33" s="6" t="s">
        <v>170</v>
      </c>
      <c r="D33" t="s">
        <v>93</v>
      </c>
    </row>
    <row r="34" spans="1:4">
      <c r="A34" s="5" t="s">
        <v>231</v>
      </c>
      <c r="B34" s="1" t="s">
        <v>225</v>
      </c>
      <c r="C34" s="6" t="s">
        <v>170</v>
      </c>
      <c r="D34" t="s">
        <v>93</v>
      </c>
    </row>
    <row r="35" spans="1:4">
      <c r="A35" s="5" t="s">
        <v>232</v>
      </c>
      <c r="B35" s="1" t="s">
        <v>227</v>
      </c>
      <c r="C35" s="6" t="s">
        <v>170</v>
      </c>
      <c r="D35" t="s">
        <v>93</v>
      </c>
    </row>
    <row r="36" spans="1:4">
      <c r="A36" s="5" t="s">
        <v>233</v>
      </c>
      <c r="B36" s="1" t="s">
        <v>229</v>
      </c>
      <c r="C36" s="6" t="s">
        <v>170</v>
      </c>
      <c r="D36" t="s">
        <v>93</v>
      </c>
    </row>
    <row r="37" spans="1:4">
      <c r="A37" s="5" t="s">
        <v>234</v>
      </c>
      <c r="B37" s="1" t="s">
        <v>223</v>
      </c>
      <c r="C37" s="6" t="s">
        <v>170</v>
      </c>
      <c r="D37" t="s">
        <v>93</v>
      </c>
    </row>
    <row r="38" spans="1:4">
      <c r="A38" s="5" t="s">
        <v>235</v>
      </c>
      <c r="B38" s="1" t="s">
        <v>225</v>
      </c>
      <c r="C38" s="6" t="s">
        <v>170</v>
      </c>
      <c r="D38" t="s">
        <v>93</v>
      </c>
    </row>
    <row r="39" spans="1:4">
      <c r="A39" s="5" t="s">
        <v>236</v>
      </c>
      <c r="B39" s="1" t="s">
        <v>227</v>
      </c>
      <c r="C39" s="6" t="s">
        <v>170</v>
      </c>
      <c r="D39" t="s">
        <v>93</v>
      </c>
    </row>
    <row r="40" spans="1:4">
      <c r="A40" s="5" t="s">
        <v>237</v>
      </c>
      <c r="B40" s="1" t="s">
        <v>229</v>
      </c>
      <c r="C40" s="6" t="s">
        <v>170</v>
      </c>
      <c r="D40" t="s">
        <v>93</v>
      </c>
    </row>
    <row r="41" spans="1:4">
      <c r="A41" s="7" t="s">
        <v>238</v>
      </c>
      <c r="B41" s="8" t="s">
        <v>223</v>
      </c>
      <c r="C41" s="9" t="s">
        <v>170</v>
      </c>
      <c r="D41" t="s">
        <v>93</v>
      </c>
    </row>
    <row r="42" spans="1:4">
      <c r="A42" s="5" t="s">
        <v>239</v>
      </c>
      <c r="B42" s="1" t="s">
        <v>225</v>
      </c>
      <c r="C42" s="6" t="s">
        <v>170</v>
      </c>
      <c r="D42" t="s">
        <v>93</v>
      </c>
    </row>
    <row r="43" spans="1:4">
      <c r="A43" s="5" t="s">
        <v>240</v>
      </c>
      <c r="B43" s="1" t="s">
        <v>227</v>
      </c>
      <c r="C43" s="6" t="s">
        <v>170</v>
      </c>
      <c r="D43" t="s">
        <v>93</v>
      </c>
    </row>
    <row r="44" spans="1:4">
      <c r="A44" s="5" t="s">
        <v>241</v>
      </c>
      <c r="B44" s="1" t="s">
        <v>229</v>
      </c>
      <c r="C44" s="6" t="s">
        <v>170</v>
      </c>
      <c r="D44" t="s">
        <v>93</v>
      </c>
    </row>
    <row r="45" spans="1:4">
      <c r="A45" s="5" t="s">
        <v>242</v>
      </c>
      <c r="B45" s="1" t="s">
        <v>243</v>
      </c>
      <c r="C45" s="6" t="s">
        <v>170</v>
      </c>
      <c r="D45" t="s">
        <v>93</v>
      </c>
    </row>
    <row r="46" spans="1:4">
      <c r="A46" s="5" t="s">
        <v>244</v>
      </c>
      <c r="B46" s="1" t="s">
        <v>245</v>
      </c>
      <c r="C46" s="6" t="s">
        <v>170</v>
      </c>
      <c r="D46" t="s">
        <v>93</v>
      </c>
    </row>
    <row r="47" spans="1:4">
      <c r="A47" s="5" t="s">
        <v>246</v>
      </c>
      <c r="B47" s="1" t="s">
        <v>466</v>
      </c>
      <c r="C47" s="6" t="s">
        <v>170</v>
      </c>
      <c r="D47" t="s">
        <v>37</v>
      </c>
    </row>
    <row r="48" spans="1:4">
      <c r="A48" s="5" t="s">
        <v>247</v>
      </c>
      <c r="B48" s="1" t="s">
        <v>466</v>
      </c>
      <c r="C48" s="6" t="s">
        <v>170</v>
      </c>
      <c r="D48" t="s">
        <v>37</v>
      </c>
    </row>
    <row r="49" spans="1:4">
      <c r="A49" s="5" t="s">
        <v>248</v>
      </c>
      <c r="B49" s="1" t="s">
        <v>467</v>
      </c>
      <c r="C49" s="6" t="s">
        <v>170</v>
      </c>
      <c r="D49" t="s">
        <v>37</v>
      </c>
    </row>
    <row r="50" spans="1:4">
      <c r="A50" s="5" t="s">
        <v>249</v>
      </c>
      <c r="B50" s="1" t="s">
        <v>467</v>
      </c>
      <c r="C50" s="6" t="s">
        <v>170</v>
      </c>
      <c r="D50" t="s">
        <v>37</v>
      </c>
    </row>
    <row r="51" spans="1:4">
      <c r="A51" s="5" t="s">
        <v>250</v>
      </c>
      <c r="B51" s="1" t="s">
        <v>468</v>
      </c>
      <c r="C51" s="6" t="s">
        <v>170</v>
      </c>
      <c r="D51" t="s">
        <v>37</v>
      </c>
    </row>
    <row r="52" spans="1:4">
      <c r="A52" s="5" t="s">
        <v>251</v>
      </c>
      <c r="B52" s="1" t="s">
        <v>468</v>
      </c>
      <c r="C52" s="6" t="s">
        <v>170</v>
      </c>
      <c r="D52" t="s">
        <v>37</v>
      </c>
    </row>
    <row r="53" spans="1:4">
      <c r="A53" s="5" t="s">
        <v>252</v>
      </c>
      <c r="B53" s="1" t="s">
        <v>469</v>
      </c>
      <c r="C53" s="6" t="s">
        <v>170</v>
      </c>
      <c r="D53" t="s">
        <v>37</v>
      </c>
    </row>
    <row r="54" spans="1:4">
      <c r="A54" s="5" t="s">
        <v>253</v>
      </c>
      <c r="B54" s="1" t="s">
        <v>470</v>
      </c>
      <c r="C54" s="6" t="s">
        <v>170</v>
      </c>
      <c r="D54" t="s">
        <v>37</v>
      </c>
    </row>
    <row r="55" spans="1:4">
      <c r="A55" s="5" t="s">
        <v>254</v>
      </c>
      <c r="B55" s="1" t="s">
        <v>471</v>
      </c>
      <c r="C55" s="6" t="s">
        <v>170</v>
      </c>
      <c r="D55" t="s">
        <v>37</v>
      </c>
    </row>
    <row r="56" spans="1:4">
      <c r="A56" s="5" t="s">
        <v>255</v>
      </c>
      <c r="B56" s="1" t="s">
        <v>472</v>
      </c>
      <c r="C56" s="6" t="s">
        <v>170</v>
      </c>
      <c r="D56" t="s">
        <v>37</v>
      </c>
    </row>
    <row r="57" spans="1:4">
      <c r="A57" s="5" t="s">
        <v>256</v>
      </c>
      <c r="B57" s="1" t="s">
        <v>473</v>
      </c>
      <c r="C57" s="6" t="s">
        <v>170</v>
      </c>
      <c r="D57" t="s">
        <v>37</v>
      </c>
    </row>
    <row r="58" spans="1:4">
      <c r="A58" s="5" t="s">
        <v>257</v>
      </c>
      <c r="B58" s="1" t="s">
        <v>474</v>
      </c>
      <c r="C58" s="6" t="s">
        <v>170</v>
      </c>
      <c r="D58" t="s">
        <v>37</v>
      </c>
    </row>
    <row r="59" spans="1:4">
      <c r="A59" s="5" t="s">
        <v>258</v>
      </c>
      <c r="B59" s="1" t="s">
        <v>475</v>
      </c>
      <c r="C59" s="6" t="s">
        <v>170</v>
      </c>
      <c r="D59" t="s">
        <v>37</v>
      </c>
    </row>
    <row r="60" spans="1:4">
      <c r="A60" s="5" t="s">
        <v>259</v>
      </c>
      <c r="B60" s="1" t="s">
        <v>476</v>
      </c>
      <c r="C60" s="6" t="s">
        <v>170</v>
      </c>
      <c r="D60" t="s">
        <v>37</v>
      </c>
    </row>
    <row r="61" spans="1:4">
      <c r="A61" s="7" t="s">
        <v>260</v>
      </c>
      <c r="B61" s="8" t="s">
        <v>477</v>
      </c>
      <c r="C61" s="9" t="s">
        <v>170</v>
      </c>
      <c r="D61" t="s">
        <v>37</v>
      </c>
    </row>
    <row r="62" spans="1:4">
      <c r="A62" s="5" t="s">
        <v>261</v>
      </c>
      <c r="B62" s="1" t="s">
        <v>478</v>
      </c>
      <c r="C62" s="6" t="s">
        <v>170</v>
      </c>
      <c r="D62" t="s">
        <v>37</v>
      </c>
    </row>
    <row r="63" spans="1:4">
      <c r="A63" s="5" t="s">
        <v>262</v>
      </c>
      <c r="B63" s="1" t="s">
        <v>263</v>
      </c>
      <c r="C63" s="6" t="s">
        <v>170</v>
      </c>
      <c r="D63" t="s">
        <v>37</v>
      </c>
    </row>
    <row r="64" spans="1:4">
      <c r="A64" s="5" t="s">
        <v>264</v>
      </c>
      <c r="B64" s="1" t="s">
        <v>265</v>
      </c>
      <c r="C64" s="6" t="s">
        <v>170</v>
      </c>
      <c r="D64" t="s">
        <v>37</v>
      </c>
    </row>
    <row r="65" spans="1:4">
      <c r="A65" s="5" t="s">
        <v>266</v>
      </c>
      <c r="B65" s="1" t="s">
        <v>479</v>
      </c>
      <c r="C65" s="6" t="s">
        <v>170</v>
      </c>
      <c r="D65" t="s">
        <v>37</v>
      </c>
    </row>
    <row r="66" spans="1:4">
      <c r="A66" s="5" t="s">
        <v>267</v>
      </c>
      <c r="B66" s="1" t="s">
        <v>268</v>
      </c>
      <c r="C66" s="6" t="s">
        <v>170</v>
      </c>
      <c r="D66" t="s">
        <v>11</v>
      </c>
    </row>
    <row r="67" spans="1:4">
      <c r="A67" s="5" t="s">
        <v>269</v>
      </c>
      <c r="B67" s="1" t="s">
        <v>270</v>
      </c>
      <c r="C67" s="6" t="s">
        <v>170</v>
      </c>
      <c r="D67" t="s">
        <v>11</v>
      </c>
    </row>
    <row r="68" spans="1:4">
      <c r="A68" s="5" t="s">
        <v>271</v>
      </c>
      <c r="B68" s="1" t="s">
        <v>272</v>
      </c>
      <c r="C68" s="6" t="s">
        <v>170</v>
      </c>
      <c r="D68" t="s">
        <v>11</v>
      </c>
    </row>
    <row r="69" spans="1:4">
      <c r="A69" s="5" t="s">
        <v>273</v>
      </c>
      <c r="B69" s="1" t="s">
        <v>274</v>
      </c>
      <c r="C69" s="6" t="s">
        <v>170</v>
      </c>
      <c r="D69" t="s">
        <v>11</v>
      </c>
    </row>
    <row r="70" spans="1:4">
      <c r="A70" s="5" t="s">
        <v>275</v>
      </c>
      <c r="B70" s="1" t="s">
        <v>276</v>
      </c>
      <c r="C70" s="6" t="s">
        <v>170</v>
      </c>
      <c r="D70" t="s">
        <v>11</v>
      </c>
    </row>
    <row r="71" spans="1:4">
      <c r="A71" s="5" t="s">
        <v>277</v>
      </c>
      <c r="B71" s="1" t="s">
        <v>278</v>
      </c>
      <c r="C71" s="6" t="s">
        <v>170</v>
      </c>
      <c r="D71" t="s">
        <v>11</v>
      </c>
    </row>
    <row r="72" spans="1:4">
      <c r="A72" s="5" t="s">
        <v>279</v>
      </c>
      <c r="B72" s="1" t="s">
        <v>280</v>
      </c>
      <c r="C72" s="6" t="s">
        <v>170</v>
      </c>
      <c r="D72" t="s">
        <v>11</v>
      </c>
    </row>
    <row r="73" spans="1:4">
      <c r="A73" s="5" t="s">
        <v>281</v>
      </c>
      <c r="B73" s="1" t="s">
        <v>282</v>
      </c>
      <c r="C73" s="6" t="s">
        <v>170</v>
      </c>
      <c r="D73" t="s">
        <v>11</v>
      </c>
    </row>
    <row r="74" spans="1:4">
      <c r="A74" s="5" t="s">
        <v>283</v>
      </c>
      <c r="B74" s="1" t="s">
        <v>284</v>
      </c>
      <c r="C74" s="6" t="s">
        <v>170</v>
      </c>
      <c r="D74" t="s">
        <v>37</v>
      </c>
    </row>
    <row r="75" spans="1:4">
      <c r="A75" s="5" t="s">
        <v>285</v>
      </c>
      <c r="B75" s="1" t="s">
        <v>286</v>
      </c>
      <c r="C75" s="6" t="s">
        <v>170</v>
      </c>
      <c r="D75" t="s">
        <v>8</v>
      </c>
    </row>
    <row r="76" spans="1:4">
      <c r="A76" s="5" t="s">
        <v>287</v>
      </c>
      <c r="B76" s="1" t="s">
        <v>288</v>
      </c>
      <c r="C76" s="6" t="s">
        <v>170</v>
      </c>
      <c r="D76" t="s">
        <v>8</v>
      </c>
    </row>
    <row r="77" spans="1:4">
      <c r="A77" s="5" t="s">
        <v>289</v>
      </c>
      <c r="B77" s="1" t="s">
        <v>290</v>
      </c>
      <c r="C77" s="6" t="s">
        <v>170</v>
      </c>
      <c r="D77" t="s">
        <v>8</v>
      </c>
    </row>
    <row r="78" spans="1:4">
      <c r="A78" s="5" t="s">
        <v>291</v>
      </c>
      <c r="B78" s="1" t="s">
        <v>292</v>
      </c>
      <c r="C78" s="6" t="s">
        <v>170</v>
      </c>
      <c r="D78" t="s">
        <v>8</v>
      </c>
    </row>
    <row r="79" spans="1:4">
      <c r="A79" s="5" t="s">
        <v>293</v>
      </c>
      <c r="B79" s="1" t="s">
        <v>294</v>
      </c>
      <c r="C79" s="6" t="s">
        <v>170</v>
      </c>
      <c r="D79" t="s">
        <v>8</v>
      </c>
    </row>
    <row r="80" spans="1:4">
      <c r="A80" s="5" t="s">
        <v>295</v>
      </c>
      <c r="B80" s="1" t="s">
        <v>294</v>
      </c>
      <c r="C80" s="6" t="s">
        <v>170</v>
      </c>
      <c r="D80" t="s">
        <v>8</v>
      </c>
    </row>
    <row r="81" spans="1:4">
      <c r="A81" s="7" t="s">
        <v>296</v>
      </c>
      <c r="B81" s="8" t="s">
        <v>297</v>
      </c>
      <c r="C81" s="9" t="s">
        <v>170</v>
      </c>
      <c r="D81" t="s">
        <v>298</v>
      </c>
    </row>
    <row r="82" spans="1:4">
      <c r="A82" s="5" t="s">
        <v>299</v>
      </c>
      <c r="B82" s="1" t="s">
        <v>300</v>
      </c>
      <c r="C82" s="6" t="s">
        <v>170</v>
      </c>
      <c r="D82" t="s">
        <v>8</v>
      </c>
    </row>
    <row r="83" spans="1:4">
      <c r="A83" s="5" t="s">
        <v>301</v>
      </c>
      <c r="B83" s="1" t="s">
        <v>300</v>
      </c>
      <c r="C83" s="6" t="s">
        <v>170</v>
      </c>
      <c r="D83" t="s">
        <v>8</v>
      </c>
    </row>
    <row r="84" spans="1:4">
      <c r="A84" s="5" t="s">
        <v>302</v>
      </c>
      <c r="B84" s="1" t="s">
        <v>303</v>
      </c>
      <c r="C84" s="6" t="s">
        <v>170</v>
      </c>
      <c r="D84" t="s">
        <v>8</v>
      </c>
    </row>
    <row r="85" spans="1:4">
      <c r="A85" s="5" t="s">
        <v>304</v>
      </c>
      <c r="B85" s="1" t="s">
        <v>305</v>
      </c>
      <c r="C85" s="6" t="s">
        <v>170</v>
      </c>
      <c r="D85" t="s">
        <v>8</v>
      </c>
    </row>
    <row r="86" spans="1:4">
      <c r="A86" s="5" t="s">
        <v>306</v>
      </c>
      <c r="B86" s="1" t="s">
        <v>307</v>
      </c>
      <c r="C86" s="6" t="s">
        <v>170</v>
      </c>
      <c r="D86" t="s">
        <v>8</v>
      </c>
    </row>
    <row r="87" spans="1:4">
      <c r="A87" s="5" t="s">
        <v>308</v>
      </c>
      <c r="B87" s="1" t="s">
        <v>303</v>
      </c>
      <c r="C87" s="6" t="s">
        <v>170</v>
      </c>
      <c r="D87" t="s">
        <v>8</v>
      </c>
    </row>
    <row r="88" spans="1:4">
      <c r="A88" s="5" t="s">
        <v>309</v>
      </c>
      <c r="B88" s="1" t="s">
        <v>303</v>
      </c>
      <c r="C88" s="6" t="s">
        <v>170</v>
      </c>
      <c r="D88" t="s">
        <v>8</v>
      </c>
    </row>
    <row r="89" spans="1:4">
      <c r="A89" s="5" t="s">
        <v>310</v>
      </c>
      <c r="B89" s="1" t="s">
        <v>311</v>
      </c>
      <c r="C89" s="6" t="s">
        <v>170</v>
      </c>
      <c r="D89" t="s">
        <v>8</v>
      </c>
    </row>
    <row r="90" spans="1:4">
      <c r="A90" s="5" t="s">
        <v>312</v>
      </c>
      <c r="B90" s="1" t="s">
        <v>303</v>
      </c>
      <c r="C90" s="6" t="s">
        <v>170</v>
      </c>
      <c r="D90" t="s">
        <v>8</v>
      </c>
    </row>
    <row r="91" spans="1:4">
      <c r="A91" s="5" t="s">
        <v>313</v>
      </c>
      <c r="B91" s="1" t="s">
        <v>303</v>
      </c>
      <c r="C91" s="6" t="s">
        <v>170</v>
      </c>
      <c r="D91" t="s">
        <v>8</v>
      </c>
    </row>
    <row r="92" spans="1:4">
      <c r="A92" s="5" t="s">
        <v>314</v>
      </c>
      <c r="B92" s="1" t="s">
        <v>303</v>
      </c>
      <c r="C92" s="6" t="s">
        <v>170</v>
      </c>
      <c r="D92" t="s">
        <v>8</v>
      </c>
    </row>
    <row r="93" spans="1:4">
      <c r="A93" s="5" t="s">
        <v>315</v>
      </c>
      <c r="B93" s="1" t="s">
        <v>316</v>
      </c>
      <c r="C93" s="6" t="s">
        <v>170</v>
      </c>
      <c r="D93" t="s">
        <v>8</v>
      </c>
    </row>
    <row r="94" spans="1:4">
      <c r="A94" s="5" t="s">
        <v>317</v>
      </c>
      <c r="B94" s="1" t="s">
        <v>318</v>
      </c>
      <c r="C94" s="6" t="s">
        <v>170</v>
      </c>
      <c r="D94" t="s">
        <v>8</v>
      </c>
    </row>
    <row r="95" spans="1:4">
      <c r="A95" s="5" t="s">
        <v>319</v>
      </c>
      <c r="B95" s="1" t="s">
        <v>318</v>
      </c>
      <c r="C95" s="6" t="s">
        <v>170</v>
      </c>
      <c r="D95" t="s">
        <v>8</v>
      </c>
    </row>
    <row r="96" spans="1:4">
      <c r="A96" s="5" t="s">
        <v>320</v>
      </c>
      <c r="B96" s="1" t="s">
        <v>316</v>
      </c>
      <c r="C96" s="6" t="s">
        <v>170</v>
      </c>
      <c r="D96" t="s">
        <v>8</v>
      </c>
    </row>
    <row r="97" spans="1:4">
      <c r="A97" s="5" t="s">
        <v>321</v>
      </c>
      <c r="B97" s="1" t="s">
        <v>316</v>
      </c>
      <c r="C97" s="6" t="s">
        <v>170</v>
      </c>
      <c r="D97" t="s">
        <v>8</v>
      </c>
    </row>
    <row r="98" spans="1:4">
      <c r="A98" s="5" t="s">
        <v>322</v>
      </c>
      <c r="B98" s="1" t="s">
        <v>318</v>
      </c>
      <c r="C98" s="6" t="s">
        <v>170</v>
      </c>
      <c r="D98" t="s">
        <v>8</v>
      </c>
    </row>
    <row r="99" spans="1:4">
      <c r="A99" s="5" t="s">
        <v>323</v>
      </c>
      <c r="B99" s="1" t="s">
        <v>316</v>
      </c>
      <c r="C99" s="6" t="s">
        <v>170</v>
      </c>
      <c r="D99" t="s">
        <v>8</v>
      </c>
    </row>
    <row r="100" spans="1:4">
      <c r="A100" s="5" t="s">
        <v>324</v>
      </c>
      <c r="B100" s="1" t="s">
        <v>316</v>
      </c>
      <c r="C100" s="6" t="s">
        <v>170</v>
      </c>
      <c r="D100" t="s">
        <v>8</v>
      </c>
    </row>
    <row r="101" spans="1:4">
      <c r="A101" s="7" t="s">
        <v>325</v>
      </c>
      <c r="B101" s="8" t="s">
        <v>318</v>
      </c>
      <c r="C101" s="9" t="s">
        <v>170</v>
      </c>
      <c r="D101" t="s">
        <v>8</v>
      </c>
    </row>
    <row r="102" spans="1:4">
      <c r="A102" s="5" t="s">
        <v>326</v>
      </c>
      <c r="B102" s="1" t="s">
        <v>318</v>
      </c>
      <c r="C102" s="6" t="s">
        <v>170</v>
      </c>
      <c r="D102" t="s">
        <v>8</v>
      </c>
    </row>
    <row r="103" spans="1:4">
      <c r="A103" s="5" t="s">
        <v>327</v>
      </c>
      <c r="B103" s="1" t="s">
        <v>316</v>
      </c>
      <c r="C103" s="6" t="s">
        <v>170</v>
      </c>
      <c r="D103" t="s">
        <v>8</v>
      </c>
    </row>
    <row r="104" spans="1:4">
      <c r="A104" s="5" t="s">
        <v>328</v>
      </c>
      <c r="B104" s="1" t="s">
        <v>318</v>
      </c>
      <c r="C104" s="6" t="s">
        <v>170</v>
      </c>
      <c r="D104" t="s">
        <v>8</v>
      </c>
    </row>
    <row r="105" spans="1:4">
      <c r="A105" s="5" t="s">
        <v>329</v>
      </c>
      <c r="B105" s="1" t="s">
        <v>316</v>
      </c>
      <c r="C105" s="6" t="s">
        <v>170</v>
      </c>
      <c r="D105" t="s">
        <v>8</v>
      </c>
    </row>
    <row r="106" spans="1:4">
      <c r="A106" s="5" t="s">
        <v>330</v>
      </c>
      <c r="B106" s="1" t="s">
        <v>318</v>
      </c>
      <c r="C106" s="6" t="s">
        <v>170</v>
      </c>
      <c r="D106" t="s">
        <v>8</v>
      </c>
    </row>
    <row r="107" spans="1:4">
      <c r="A107" s="5" t="s">
        <v>331</v>
      </c>
      <c r="B107" s="1" t="s">
        <v>316</v>
      </c>
      <c r="C107" s="6" t="s">
        <v>170</v>
      </c>
      <c r="D107" t="s">
        <v>8</v>
      </c>
    </row>
    <row r="108" spans="1:4">
      <c r="A108" s="5" t="s">
        <v>332</v>
      </c>
      <c r="B108" s="1" t="s">
        <v>318</v>
      </c>
      <c r="C108" s="6" t="s">
        <v>170</v>
      </c>
      <c r="D108" t="s">
        <v>8</v>
      </c>
    </row>
    <row r="109" spans="1:4">
      <c r="A109" s="5" t="s">
        <v>333</v>
      </c>
      <c r="B109" s="1" t="s">
        <v>316</v>
      </c>
      <c r="C109" s="6" t="s">
        <v>170</v>
      </c>
      <c r="D109" t="s">
        <v>8</v>
      </c>
    </row>
    <row r="110" spans="1:4">
      <c r="A110" s="5" t="s">
        <v>334</v>
      </c>
      <c r="B110" s="1" t="s">
        <v>335</v>
      </c>
      <c r="C110" s="6" t="s">
        <v>170</v>
      </c>
      <c r="D110" t="s">
        <v>8</v>
      </c>
    </row>
    <row r="111" spans="1:4">
      <c r="A111" s="5" t="s">
        <v>336</v>
      </c>
      <c r="B111" s="1" t="s">
        <v>337</v>
      </c>
      <c r="C111" s="6" t="s">
        <v>170</v>
      </c>
      <c r="D111" t="s">
        <v>8</v>
      </c>
    </row>
    <row r="112" spans="1:4">
      <c r="A112" s="5" t="s">
        <v>338</v>
      </c>
      <c r="B112" s="1" t="s">
        <v>335</v>
      </c>
      <c r="C112" s="6" t="s">
        <v>170</v>
      </c>
      <c r="D112" t="s">
        <v>8</v>
      </c>
    </row>
    <row r="113" spans="1:4">
      <c r="A113" s="5" t="s">
        <v>339</v>
      </c>
      <c r="B113" s="1" t="s">
        <v>337</v>
      </c>
      <c r="C113" s="6" t="s">
        <v>170</v>
      </c>
      <c r="D113" t="s">
        <v>8</v>
      </c>
    </row>
    <row r="114" spans="1:4">
      <c r="A114" s="5" t="s">
        <v>340</v>
      </c>
      <c r="B114" s="1" t="s">
        <v>335</v>
      </c>
      <c r="C114" s="6" t="s">
        <v>170</v>
      </c>
      <c r="D114" t="s">
        <v>8</v>
      </c>
    </row>
    <row r="115" spans="1:4">
      <c r="A115" s="5" t="s">
        <v>341</v>
      </c>
      <c r="B115" s="1" t="s">
        <v>337</v>
      </c>
      <c r="C115" s="6" t="s">
        <v>170</v>
      </c>
      <c r="D115" t="s">
        <v>8</v>
      </c>
    </row>
    <row r="116" spans="1:4">
      <c r="A116" s="5" t="s">
        <v>342</v>
      </c>
      <c r="B116" s="1" t="s">
        <v>335</v>
      </c>
      <c r="C116" s="6" t="s">
        <v>170</v>
      </c>
      <c r="D116" t="s">
        <v>8</v>
      </c>
    </row>
    <row r="117" spans="1:4">
      <c r="A117" s="5" t="s">
        <v>343</v>
      </c>
      <c r="B117" s="1" t="s">
        <v>337</v>
      </c>
      <c r="C117" s="6" t="s">
        <v>170</v>
      </c>
      <c r="D117" t="s">
        <v>8</v>
      </c>
    </row>
    <row r="118" spans="1:4">
      <c r="A118" s="5" t="s">
        <v>344</v>
      </c>
      <c r="B118" s="1" t="s">
        <v>337</v>
      </c>
      <c r="C118" s="6" t="s">
        <v>170</v>
      </c>
      <c r="D118" t="s">
        <v>8</v>
      </c>
    </row>
    <row r="119" spans="1:4">
      <c r="A119" s="5" t="s">
        <v>345</v>
      </c>
      <c r="B119" s="1" t="s">
        <v>346</v>
      </c>
      <c r="C119" s="6" t="s">
        <v>170</v>
      </c>
      <c r="D119" t="s">
        <v>8</v>
      </c>
    </row>
    <row r="120" spans="1:4">
      <c r="A120" s="5" t="s">
        <v>347</v>
      </c>
      <c r="B120" s="1" t="s">
        <v>348</v>
      </c>
      <c r="C120" s="6" t="s">
        <v>170</v>
      </c>
      <c r="D120" t="s">
        <v>8</v>
      </c>
    </row>
    <row r="121" spans="1:4">
      <c r="A121" s="7" t="s">
        <v>349</v>
      </c>
      <c r="B121" s="8" t="s">
        <v>350</v>
      </c>
      <c r="C121" s="9" t="s">
        <v>170</v>
      </c>
      <c r="D121" t="s">
        <v>8</v>
      </c>
    </row>
    <row r="122" spans="1:4">
      <c r="A122" s="5" t="s">
        <v>351</v>
      </c>
      <c r="B122" s="1" t="s">
        <v>350</v>
      </c>
      <c r="C122" s="6" t="s">
        <v>170</v>
      </c>
      <c r="D122" t="s">
        <v>8</v>
      </c>
    </row>
    <row r="123" spans="1:4">
      <c r="A123" s="5" t="s">
        <v>352</v>
      </c>
      <c r="B123" s="1" t="s">
        <v>353</v>
      </c>
      <c r="C123" s="6" t="s">
        <v>170</v>
      </c>
      <c r="D123" t="s">
        <v>8</v>
      </c>
    </row>
    <row r="124" spans="1:4">
      <c r="A124" s="5" t="s">
        <v>354</v>
      </c>
      <c r="B124" s="1" t="s">
        <v>355</v>
      </c>
      <c r="C124" s="6" t="s">
        <v>170</v>
      </c>
      <c r="D124" t="s">
        <v>8</v>
      </c>
    </row>
    <row r="125" spans="1:4">
      <c r="A125" s="5" t="s">
        <v>356</v>
      </c>
      <c r="B125" s="1" t="s">
        <v>357</v>
      </c>
      <c r="C125" s="6" t="s">
        <v>170</v>
      </c>
      <c r="D125" t="s">
        <v>8</v>
      </c>
    </row>
    <row r="126" spans="1:4">
      <c r="A126" s="5" t="s">
        <v>358</v>
      </c>
      <c r="B126" s="1" t="s">
        <v>359</v>
      </c>
      <c r="C126" s="6" t="s">
        <v>170</v>
      </c>
      <c r="D126" t="s">
        <v>8</v>
      </c>
    </row>
    <row r="127" spans="1:4">
      <c r="A127" s="5" t="s">
        <v>360</v>
      </c>
      <c r="B127" s="1" t="s">
        <v>355</v>
      </c>
      <c r="C127" s="6" t="s">
        <v>170</v>
      </c>
      <c r="D127" t="s">
        <v>8</v>
      </c>
    </row>
    <row r="128" spans="1:4">
      <c r="A128" s="5" t="s">
        <v>361</v>
      </c>
      <c r="B128" s="1" t="s">
        <v>357</v>
      </c>
      <c r="C128" s="6" t="s">
        <v>170</v>
      </c>
      <c r="D128" t="s">
        <v>8</v>
      </c>
    </row>
    <row r="129" spans="1:4">
      <c r="A129" s="5" t="s">
        <v>362</v>
      </c>
      <c r="B129" s="1" t="s">
        <v>363</v>
      </c>
      <c r="C129" s="6" t="s">
        <v>170</v>
      </c>
      <c r="D129" t="s">
        <v>8</v>
      </c>
    </row>
    <row r="130" spans="1:4">
      <c r="A130" s="5" t="s">
        <v>364</v>
      </c>
      <c r="B130" s="1" t="s">
        <v>355</v>
      </c>
      <c r="C130" s="6" t="s">
        <v>170</v>
      </c>
      <c r="D130" t="s">
        <v>8</v>
      </c>
    </row>
    <row r="131" spans="1:4">
      <c r="A131" s="5" t="s">
        <v>365</v>
      </c>
      <c r="B131" s="1" t="s">
        <v>366</v>
      </c>
      <c r="C131" s="6" t="s">
        <v>170</v>
      </c>
      <c r="D131" t="s">
        <v>8</v>
      </c>
    </row>
    <row r="132" spans="1:4">
      <c r="A132" s="5" t="s">
        <v>367</v>
      </c>
      <c r="B132" s="1" t="s">
        <v>368</v>
      </c>
      <c r="C132" s="6" t="s">
        <v>170</v>
      </c>
      <c r="D132" t="s">
        <v>8</v>
      </c>
    </row>
    <row r="133" spans="1:4">
      <c r="A133" s="5" t="s">
        <v>369</v>
      </c>
      <c r="B133" s="1" t="s">
        <v>370</v>
      </c>
      <c r="C133" s="6" t="s">
        <v>170</v>
      </c>
      <c r="D133" t="s">
        <v>8</v>
      </c>
    </row>
    <row r="134" spans="1:4">
      <c r="A134" s="5" t="s">
        <v>371</v>
      </c>
      <c r="B134" s="1" t="s">
        <v>368</v>
      </c>
      <c r="C134" s="6" t="s">
        <v>170</v>
      </c>
      <c r="D134" t="s">
        <v>8</v>
      </c>
    </row>
    <row r="135" spans="1:4">
      <c r="A135" s="5" t="s">
        <v>372</v>
      </c>
      <c r="B135" s="1" t="s">
        <v>370</v>
      </c>
      <c r="C135" s="6" t="s">
        <v>170</v>
      </c>
      <c r="D135" t="s">
        <v>8</v>
      </c>
    </row>
    <row r="136" spans="1:4">
      <c r="A136" s="5" t="s">
        <v>373</v>
      </c>
      <c r="B136" s="1" t="s">
        <v>368</v>
      </c>
      <c r="C136" s="6" t="s">
        <v>170</v>
      </c>
      <c r="D136" t="s">
        <v>8</v>
      </c>
    </row>
    <row r="137" spans="1:4">
      <c r="A137" s="5" t="s">
        <v>374</v>
      </c>
      <c r="B137" s="1" t="s">
        <v>370</v>
      </c>
      <c r="C137" s="6" t="s">
        <v>170</v>
      </c>
      <c r="D137" t="s">
        <v>8</v>
      </c>
    </row>
    <row r="138" spans="1:4">
      <c r="A138" s="5" t="s">
        <v>375</v>
      </c>
      <c r="B138" s="1" t="s">
        <v>368</v>
      </c>
      <c r="C138" s="6" t="s">
        <v>170</v>
      </c>
      <c r="D138" t="s">
        <v>8</v>
      </c>
    </row>
    <row r="139" spans="1:4">
      <c r="A139" s="5" t="s">
        <v>376</v>
      </c>
      <c r="B139" s="1" t="s">
        <v>377</v>
      </c>
      <c r="C139" s="6" t="s">
        <v>170</v>
      </c>
      <c r="D139" t="s">
        <v>8</v>
      </c>
    </row>
    <row r="140" spans="1:4">
      <c r="A140" s="5" t="s">
        <v>378</v>
      </c>
      <c r="B140" s="1" t="s">
        <v>379</v>
      </c>
      <c r="C140" s="6" t="s">
        <v>170</v>
      </c>
      <c r="D140" t="s">
        <v>8</v>
      </c>
    </row>
    <row r="141" spans="1:4">
      <c r="A141" s="7" t="s">
        <v>380</v>
      </c>
      <c r="B141" s="8" t="s">
        <v>377</v>
      </c>
      <c r="C141" s="9" t="s">
        <v>170</v>
      </c>
      <c r="D141" t="s">
        <v>8</v>
      </c>
    </row>
    <row r="142" spans="1:4">
      <c r="A142" s="5" t="s">
        <v>381</v>
      </c>
      <c r="B142" s="1" t="s">
        <v>379</v>
      </c>
      <c r="C142" s="6" t="s">
        <v>170</v>
      </c>
      <c r="D142" t="s">
        <v>382</v>
      </c>
    </row>
    <row r="143" spans="1:4">
      <c r="A143" s="5" t="s">
        <v>383</v>
      </c>
      <c r="B143" s="1" t="s">
        <v>377</v>
      </c>
      <c r="C143" s="6" t="s">
        <v>170</v>
      </c>
      <c r="D143" t="s">
        <v>8</v>
      </c>
    </row>
    <row r="144" spans="1:4">
      <c r="A144" s="5" t="s">
        <v>384</v>
      </c>
      <c r="B144" s="1" t="s">
        <v>379</v>
      </c>
      <c r="C144" s="6" t="s">
        <v>170</v>
      </c>
      <c r="D144" t="s">
        <v>8</v>
      </c>
    </row>
    <row r="145" spans="1:4">
      <c r="A145" s="5" t="s">
        <v>385</v>
      </c>
      <c r="B145" s="1" t="s">
        <v>377</v>
      </c>
      <c r="C145" s="6" t="s">
        <v>170</v>
      </c>
      <c r="D145" t="s">
        <v>8</v>
      </c>
    </row>
    <row r="146" spans="1:4">
      <c r="A146" s="5" t="s">
        <v>386</v>
      </c>
      <c r="B146" s="1" t="s">
        <v>379</v>
      </c>
      <c r="C146" s="6" t="s">
        <v>170</v>
      </c>
      <c r="D146" t="s">
        <v>8</v>
      </c>
    </row>
    <row r="147" spans="1:4">
      <c r="A147" s="5" t="s">
        <v>387</v>
      </c>
      <c r="B147" s="1" t="s">
        <v>388</v>
      </c>
      <c r="C147" s="6" t="s">
        <v>170</v>
      </c>
      <c r="D147" t="s">
        <v>8</v>
      </c>
    </row>
    <row r="148" spans="1:4">
      <c r="A148" s="5" t="s">
        <v>389</v>
      </c>
      <c r="B148" s="1" t="s">
        <v>390</v>
      </c>
      <c r="C148" s="6" t="s">
        <v>170</v>
      </c>
      <c r="D148" t="s">
        <v>8</v>
      </c>
    </row>
    <row r="149" spans="1:4">
      <c r="A149" s="5" t="s">
        <v>391</v>
      </c>
      <c r="B149" s="1" t="s">
        <v>388</v>
      </c>
      <c r="C149" s="6" t="s">
        <v>170</v>
      </c>
      <c r="D149" t="s">
        <v>8</v>
      </c>
    </row>
    <row r="150" spans="1:4">
      <c r="A150" s="5" t="s">
        <v>392</v>
      </c>
      <c r="B150" s="1" t="s">
        <v>390</v>
      </c>
      <c r="C150" s="6" t="s">
        <v>170</v>
      </c>
      <c r="D150" t="s">
        <v>8</v>
      </c>
    </row>
    <row r="151" spans="1:4">
      <c r="A151" s="5" t="s">
        <v>393</v>
      </c>
      <c r="B151" s="1" t="s">
        <v>394</v>
      </c>
      <c r="C151" s="6" t="s">
        <v>170</v>
      </c>
      <c r="D151" t="s">
        <v>8</v>
      </c>
    </row>
    <row r="152" spans="1:4">
      <c r="A152" s="5" t="s">
        <v>395</v>
      </c>
      <c r="B152" s="1" t="s">
        <v>396</v>
      </c>
      <c r="C152" s="6" t="s">
        <v>170</v>
      </c>
      <c r="D152" t="s">
        <v>397</v>
      </c>
    </row>
    <row r="153" spans="1:4">
      <c r="A153" s="5" t="s">
        <v>398</v>
      </c>
      <c r="B153" s="1" t="s">
        <v>399</v>
      </c>
      <c r="C153" s="6" t="s">
        <v>170</v>
      </c>
      <c r="D153" t="s">
        <v>397</v>
      </c>
    </row>
    <row r="154" spans="1:4">
      <c r="A154" s="5" t="s">
        <v>400</v>
      </c>
      <c r="B154" s="1" t="s">
        <v>396</v>
      </c>
      <c r="C154" s="6" t="s">
        <v>170</v>
      </c>
      <c r="D154" t="s">
        <v>397</v>
      </c>
    </row>
    <row r="155" spans="1:4">
      <c r="A155" s="5" t="s">
        <v>401</v>
      </c>
      <c r="B155" s="1" t="s">
        <v>402</v>
      </c>
      <c r="C155" s="6" t="s">
        <v>170</v>
      </c>
      <c r="D155" t="s">
        <v>397</v>
      </c>
    </row>
    <row r="156" spans="1:4">
      <c r="A156" s="5" t="s">
        <v>403</v>
      </c>
      <c r="B156" s="1" t="s">
        <v>404</v>
      </c>
      <c r="C156" s="6" t="s">
        <v>170</v>
      </c>
      <c r="D156" t="s">
        <v>397</v>
      </c>
    </row>
    <row r="157" spans="1:4">
      <c r="A157" s="5" t="s">
        <v>405</v>
      </c>
      <c r="B157" s="1" t="s">
        <v>406</v>
      </c>
      <c r="C157" s="6" t="s">
        <v>170</v>
      </c>
      <c r="D157" t="s">
        <v>397</v>
      </c>
    </row>
    <row r="158" spans="1:4">
      <c r="A158" s="5" t="s">
        <v>407</v>
      </c>
      <c r="B158" s="1" t="s">
        <v>406</v>
      </c>
      <c r="C158" s="6" t="s">
        <v>170</v>
      </c>
      <c r="D158" t="s">
        <v>397</v>
      </c>
    </row>
    <row r="159" spans="1:4">
      <c r="A159" s="5" t="s">
        <v>408</v>
      </c>
      <c r="B159" s="1" t="s">
        <v>409</v>
      </c>
      <c r="C159" s="6" t="s">
        <v>170</v>
      </c>
      <c r="D159" t="s">
        <v>397</v>
      </c>
    </row>
    <row r="160" spans="1:4">
      <c r="A160" s="5" t="s">
        <v>410</v>
      </c>
      <c r="B160" s="1" t="s">
        <v>399</v>
      </c>
      <c r="C160" s="6" t="s">
        <v>170</v>
      </c>
      <c r="D160" t="s">
        <v>397</v>
      </c>
    </row>
    <row r="161" spans="1:4">
      <c r="A161" s="7" t="s">
        <v>411</v>
      </c>
      <c r="B161" s="8" t="s">
        <v>412</v>
      </c>
      <c r="C161" s="9" t="s">
        <v>170</v>
      </c>
      <c r="D161" t="s">
        <v>46</v>
      </c>
    </row>
    <row r="162" spans="1:4">
      <c r="A162" s="5" t="s">
        <v>413</v>
      </c>
      <c r="B162" s="1" t="s">
        <v>414</v>
      </c>
      <c r="C162" s="6" t="s">
        <v>170</v>
      </c>
      <c r="D162" t="s">
        <v>46</v>
      </c>
    </row>
    <row r="163" spans="1:4">
      <c r="A163" s="5" t="s">
        <v>415</v>
      </c>
      <c r="B163" s="1" t="s">
        <v>416</v>
      </c>
      <c r="C163" s="6" t="s">
        <v>170</v>
      </c>
      <c r="D163" t="s">
        <v>46</v>
      </c>
    </row>
    <row r="164" spans="1:4">
      <c r="A164" s="5" t="s">
        <v>417</v>
      </c>
      <c r="B164" s="1" t="s">
        <v>418</v>
      </c>
      <c r="C164" s="6" t="s">
        <v>170</v>
      </c>
      <c r="D164" t="s">
        <v>46</v>
      </c>
    </row>
    <row r="165" spans="1:4">
      <c r="A165" s="7" t="s">
        <v>419</v>
      </c>
      <c r="B165" s="8" t="s">
        <v>420</v>
      </c>
      <c r="C165" s="9" t="s">
        <v>170</v>
      </c>
      <c r="D165" t="s">
        <v>46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B97D-4843-4DDE-8116-207E7D4849F9}">
  <dimension ref="A1:C41"/>
  <sheetViews>
    <sheetView topLeftCell="A7" workbookViewId="0">
      <selection activeCell="E9" sqref="E9"/>
    </sheetView>
  </sheetViews>
  <sheetFormatPr baseColWidth="10" defaultRowHeight="13.8"/>
  <cols>
    <col min="1" max="1" width="4.296875" bestFit="1" customWidth="1"/>
    <col min="2" max="2" width="68.59765625" bestFit="1" customWidth="1"/>
    <col min="3" max="3" width="12.59765625" bestFit="1" customWidth="1"/>
  </cols>
  <sheetData>
    <row r="1" spans="1:3">
      <c r="A1" t="s">
        <v>421</v>
      </c>
      <c r="B1" s="1" t="s">
        <v>422</v>
      </c>
      <c r="C1" s="1" t="s">
        <v>115</v>
      </c>
    </row>
    <row r="2" spans="1:3">
      <c r="A2">
        <v>1</v>
      </c>
      <c r="B2" s="1" t="s">
        <v>423</v>
      </c>
      <c r="C2" s="1" t="s">
        <v>424</v>
      </c>
    </row>
    <row r="3" spans="1:3">
      <c r="A3">
        <v>2</v>
      </c>
      <c r="B3" s="1" t="s">
        <v>425</v>
      </c>
      <c r="C3" s="1" t="s">
        <v>37</v>
      </c>
    </row>
    <row r="4" spans="1:3">
      <c r="A4">
        <v>3</v>
      </c>
      <c r="B4" s="1" t="s">
        <v>426</v>
      </c>
      <c r="C4" s="1" t="s">
        <v>427</v>
      </c>
    </row>
    <row r="5" spans="1:3">
      <c r="A5">
        <v>4</v>
      </c>
      <c r="B5" s="1" t="s">
        <v>428</v>
      </c>
      <c r="C5" s="1" t="s">
        <v>424</v>
      </c>
    </row>
    <row r="6" spans="1:3">
      <c r="A6">
        <v>5</v>
      </c>
      <c r="B6" s="1" t="s">
        <v>429</v>
      </c>
      <c r="C6" s="1" t="s">
        <v>430</v>
      </c>
    </row>
    <row r="7" spans="1:3">
      <c r="A7">
        <v>6</v>
      </c>
      <c r="B7" s="1" t="s">
        <v>431</v>
      </c>
      <c r="C7" s="1" t="s">
        <v>37</v>
      </c>
    </row>
    <row r="8" spans="1:3">
      <c r="A8">
        <v>7</v>
      </c>
      <c r="B8" s="1" t="s">
        <v>432</v>
      </c>
      <c r="C8" s="1" t="s">
        <v>424</v>
      </c>
    </row>
    <row r="9" spans="1:3">
      <c r="A9">
        <v>8</v>
      </c>
      <c r="B9" s="1" t="s">
        <v>433</v>
      </c>
      <c r="C9" s="1" t="s">
        <v>427</v>
      </c>
    </row>
    <row r="10" spans="1:3">
      <c r="A10">
        <v>9</v>
      </c>
      <c r="B10" s="1" t="s">
        <v>434</v>
      </c>
      <c r="C10" s="1" t="s">
        <v>424</v>
      </c>
    </row>
    <row r="11" spans="1:3">
      <c r="A11">
        <v>10</v>
      </c>
      <c r="B11" s="1" t="s">
        <v>435</v>
      </c>
      <c r="C11" s="1" t="s">
        <v>427</v>
      </c>
    </row>
    <row r="12" spans="1:3">
      <c r="A12">
        <v>11</v>
      </c>
      <c r="B12" s="1" t="s">
        <v>436</v>
      </c>
      <c r="C12" s="1" t="s">
        <v>427</v>
      </c>
    </row>
    <row r="13" spans="1:3">
      <c r="A13">
        <v>12</v>
      </c>
      <c r="B13" s="1" t="s">
        <v>437</v>
      </c>
      <c r="C13" s="1" t="s">
        <v>424</v>
      </c>
    </row>
    <row r="14" spans="1:3">
      <c r="A14">
        <v>13</v>
      </c>
      <c r="B14" s="1" t="s">
        <v>438</v>
      </c>
      <c r="C14" s="1" t="s">
        <v>397</v>
      </c>
    </row>
    <row r="15" spans="1:3">
      <c r="A15">
        <v>14</v>
      </c>
      <c r="B15" s="1" t="s">
        <v>439</v>
      </c>
      <c r="C15" s="1" t="s">
        <v>37</v>
      </c>
    </row>
    <row r="16" spans="1:3">
      <c r="A16">
        <v>15</v>
      </c>
      <c r="B16" s="1" t="s">
        <v>440</v>
      </c>
      <c r="C16" s="1" t="s">
        <v>424</v>
      </c>
    </row>
    <row r="17" spans="1:3">
      <c r="A17">
        <v>16</v>
      </c>
      <c r="B17" s="1" t="s">
        <v>441</v>
      </c>
      <c r="C17" s="1" t="s">
        <v>424</v>
      </c>
    </row>
    <row r="18" spans="1:3">
      <c r="A18">
        <v>17</v>
      </c>
      <c r="B18" s="1" t="s">
        <v>442</v>
      </c>
      <c r="C18" s="1" t="s">
        <v>427</v>
      </c>
    </row>
    <row r="19" spans="1:3">
      <c r="A19">
        <v>18</v>
      </c>
      <c r="B19" s="1" t="s">
        <v>443</v>
      </c>
      <c r="C19" s="1" t="s">
        <v>424</v>
      </c>
    </row>
    <row r="20" spans="1:3">
      <c r="A20">
        <v>19</v>
      </c>
      <c r="B20" s="1" t="s">
        <v>444</v>
      </c>
      <c r="C20" s="1" t="s">
        <v>427</v>
      </c>
    </row>
    <row r="21" spans="1:3">
      <c r="A21">
        <v>20</v>
      </c>
      <c r="B21" s="1" t="s">
        <v>445</v>
      </c>
      <c r="C21" s="1" t="s">
        <v>424</v>
      </c>
    </row>
    <row r="22" spans="1:3">
      <c r="A22">
        <v>21</v>
      </c>
      <c r="B22" s="1" t="s">
        <v>446</v>
      </c>
      <c r="C22" s="1" t="s">
        <v>424</v>
      </c>
    </row>
    <row r="23" spans="1:3">
      <c r="A23">
        <v>22</v>
      </c>
      <c r="B23" s="1" t="s">
        <v>447</v>
      </c>
      <c r="C23" s="1" t="s">
        <v>430</v>
      </c>
    </row>
    <row r="24" spans="1:3">
      <c r="A24">
        <v>23</v>
      </c>
      <c r="B24" s="1" t="s">
        <v>448</v>
      </c>
      <c r="C24" s="1" t="s">
        <v>430</v>
      </c>
    </row>
    <row r="25" spans="1:3">
      <c r="A25">
        <v>24</v>
      </c>
      <c r="B25" s="1" t="s">
        <v>449</v>
      </c>
      <c r="C25" s="1" t="s">
        <v>207</v>
      </c>
    </row>
    <row r="26" spans="1:3">
      <c r="A26">
        <v>25</v>
      </c>
      <c r="B26" s="1" t="s">
        <v>450</v>
      </c>
      <c r="C26" s="1" t="s">
        <v>424</v>
      </c>
    </row>
    <row r="27" spans="1:3">
      <c r="A27">
        <v>26</v>
      </c>
      <c r="B27" s="1" t="s">
        <v>451</v>
      </c>
      <c r="C27" s="1" t="s">
        <v>424</v>
      </c>
    </row>
    <row r="28" spans="1:3">
      <c r="A28">
        <v>27</v>
      </c>
      <c r="B28" s="1" t="s">
        <v>452</v>
      </c>
      <c r="C28" s="1" t="s">
        <v>424</v>
      </c>
    </row>
    <row r="29" spans="1:3">
      <c r="A29">
        <v>28</v>
      </c>
      <c r="B29" s="1" t="s">
        <v>453</v>
      </c>
      <c r="C29" s="1" t="s">
        <v>424</v>
      </c>
    </row>
    <row r="30" spans="1:3">
      <c r="A30">
        <v>29</v>
      </c>
      <c r="B30" s="1" t="s">
        <v>454</v>
      </c>
      <c r="C30" s="1" t="s">
        <v>430</v>
      </c>
    </row>
    <row r="31" spans="1:3">
      <c r="A31">
        <v>30</v>
      </c>
      <c r="B31" s="1" t="s">
        <v>455</v>
      </c>
      <c r="C31" s="1" t="s">
        <v>430</v>
      </c>
    </row>
    <row r="32" spans="1:3">
      <c r="A32">
        <v>31</v>
      </c>
      <c r="B32" s="1" t="s">
        <v>456</v>
      </c>
      <c r="C32" s="1" t="s">
        <v>424</v>
      </c>
    </row>
    <row r="33" spans="1:3">
      <c r="A33">
        <v>32</v>
      </c>
      <c r="B33" s="1" t="s">
        <v>457</v>
      </c>
      <c r="C33" s="1" t="s">
        <v>207</v>
      </c>
    </row>
    <row r="34" spans="1:3">
      <c r="A34">
        <v>33</v>
      </c>
      <c r="B34" s="1" t="s">
        <v>458</v>
      </c>
      <c r="C34" s="1" t="s">
        <v>46</v>
      </c>
    </row>
    <row r="35" spans="1:3">
      <c r="A35">
        <v>34</v>
      </c>
      <c r="B35" s="1" t="s">
        <v>459</v>
      </c>
      <c r="C35" s="1" t="s">
        <v>424</v>
      </c>
    </row>
    <row r="36" spans="1:3">
      <c r="A36">
        <v>35</v>
      </c>
      <c r="B36" s="1" t="s">
        <v>460</v>
      </c>
      <c r="C36" s="1" t="s">
        <v>424</v>
      </c>
    </row>
    <row r="37" spans="1:3">
      <c r="A37">
        <v>36</v>
      </c>
      <c r="B37" s="1" t="s">
        <v>461</v>
      </c>
      <c r="C37" s="1" t="s">
        <v>207</v>
      </c>
    </row>
    <row r="38" spans="1:3">
      <c r="A38">
        <v>37</v>
      </c>
      <c r="B38" s="1" t="s">
        <v>462</v>
      </c>
      <c r="C38" s="1" t="s">
        <v>37</v>
      </c>
    </row>
    <row r="39" spans="1:3">
      <c r="A39">
        <v>38</v>
      </c>
      <c r="B39" s="1" t="s">
        <v>463</v>
      </c>
      <c r="C39" s="1" t="s">
        <v>424</v>
      </c>
    </row>
    <row r="40" spans="1:3">
      <c r="A40">
        <v>39</v>
      </c>
      <c r="B40" s="1" t="s">
        <v>464</v>
      </c>
      <c r="C40" s="1" t="s">
        <v>424</v>
      </c>
    </row>
    <row r="41" spans="1:3">
      <c r="A41">
        <v>40</v>
      </c>
      <c r="B41" s="1" t="s">
        <v>465</v>
      </c>
      <c r="C41" s="1" t="s">
        <v>424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04470-EAFA-4B0A-AC14-4F61B8D4D88B}">
  <dimension ref="A1"/>
  <sheetViews>
    <sheetView topLeftCell="A7" workbookViewId="0"/>
  </sheetViews>
  <sheetFormatPr baseColWidth="10" defaultRowHeight="13.8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1816F7-5BDD-4D9B-94E1-342FD43415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capi</vt:lpstr>
      <vt:lpstr>obli regionales</vt:lpstr>
      <vt:lpstr>Sukuk</vt:lpstr>
      <vt:lpstr>Privés</vt:lpstr>
      <vt:lpstr>Obli Etat</vt:lpstr>
      <vt:lpstr>SGI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Abou SAMBA</dc:creator>
  <cp:lastModifiedBy>Utilisateur</cp:lastModifiedBy>
  <dcterms:created xsi:type="dcterms:W3CDTF">2026-08-26T08:49:12Z</dcterms:created>
  <dcterms:modified xsi:type="dcterms:W3CDTF">2026-08-27T09:56:22Z</dcterms:modified>
</cp:coreProperties>
</file>