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vmci-my.sharepoint.com/personal/aasamba_brvm_org/Documents/Bureau/les docs/"/>
    </mc:Choice>
  </mc:AlternateContent>
  <xr:revisionPtr revIDLastSave="11" documentId="8_{B340CC74-5A35-4FA2-B4B6-0C190003A9F9}" xr6:coauthVersionLast="47" xr6:coauthVersionMax="47" xr10:uidLastSave="{70A8574F-0054-49F5-BA6B-1EBA9051ACFE}"/>
  <bookViews>
    <workbookView xWindow="-120" yWindow="-120" windowWidth="29040" windowHeight="15720" activeTab="2" xr2:uid="{A4B934D4-50AE-4B3C-B648-1E60E96FB2F7}"/>
  </bookViews>
  <sheets>
    <sheet name="Table 4" sheetId="2" r:id="rId1"/>
    <sheet name="obli regionales" sheetId="4" r:id="rId2"/>
    <sheet name="Sukuk" sheetId="5" r:id="rId3"/>
    <sheet name="Feuil1" sheetId="3" r:id="rId4"/>
  </sheets>
  <definedNames>
    <definedName name="DonnéesExternes_1" localSheetId="1" hidden="1">'obli regionales'!$A$1:$D$12</definedName>
    <definedName name="DonnéesExternes_1" localSheetId="2" hidden="1">Sukuk!$A$1:$D$3</definedName>
    <definedName name="DonnéesExternes_1" localSheetId="0" hidden="1">'Table 4'!$A$1:$F$49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9" i="2" l="1"/>
  <c r="D49" i="2"/>
  <c r="C4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4F2FF2-0C0A-47E8-90C2-9D24EDB8AD25}" keepAlive="1" name="Requête - Capi" description="Connexion à la requête « Capi » dans le classeur." type="5" refreshedVersion="8" background="1" saveData="1">
    <dbPr connection="Provider=Microsoft.Mashup.OleDb.1;Data Source=$Workbook$;Location=Capi;Extended Properties=&quot;&quot;" command="SELECT * FROM [Capi]"/>
  </connection>
  <connection id="2" xr16:uid="{4AC6B163-A6D8-41A7-A9B7-36676EB067B4}" keepAlive="1" name="Requête - obli regionales" description="Connexion à la requête « obli regionales » dans le classeur." type="5" refreshedVersion="8" background="1" saveData="1">
    <dbPr connection="Provider=Microsoft.Mashup.OleDb.1;Data Source=$Workbook$;Location=&quot;obli regionales&quot;;Extended Properties=&quot;&quot;" command="SELECT * FROM [obli regionales]"/>
  </connection>
  <connection id="3" xr16:uid="{D10D5062-447F-4C1C-9435-1A3C2BFB5DAF}" keepAlive="1" name="Requête - Sukuk" description="Connexion à la requête « Sukuk » dans le classeur." type="5" refreshedVersion="8" background="1" saveData="1">
    <dbPr connection="Provider=Microsoft.Mashup.OleDb.1;Data Source=$Workbook$;Location=Sukuk;Extended Properties=&quot;&quot;" command="SELECT * FROM [Sukuk]"/>
  </connection>
</connections>
</file>

<file path=xl/sharedStrings.xml><?xml version="1.0" encoding="utf-8"?>
<sst xmlns="http://schemas.openxmlformats.org/spreadsheetml/2006/main" count="209" uniqueCount="145">
  <si>
    <t>Code obligation</t>
  </si>
  <si>
    <t>Nom</t>
  </si>
  <si>
    <t>Capitalisation flottante</t>
  </si>
  <si>
    <t>Capitalisation globale</t>
  </si>
  <si>
    <t>Capitalisation globale (%)</t>
  </si>
  <si>
    <t xml:space="preserve">Pays </t>
  </si>
  <si>
    <t>ABJC</t>
  </si>
  <si>
    <t>SERVAIR ABIDJAN  COTE D'IVOIRE</t>
  </si>
  <si>
    <t>Cote d'ivoire</t>
  </si>
  <si>
    <t>BICB</t>
  </si>
  <si>
    <t>BANQUE INTERNATIONALE POUR L’INDUSTRIE ET LE COMMERCE DU BENIN</t>
  </si>
  <si>
    <t>Benin</t>
  </si>
  <si>
    <t>BICC</t>
  </si>
  <si>
    <t>BICI COTE D'IVOIRE</t>
  </si>
  <si>
    <t>BNBC</t>
  </si>
  <si>
    <t>BERNABE COTE D'IVOIRE</t>
  </si>
  <si>
    <t>BOAB</t>
  </si>
  <si>
    <t>BANK OF AFRICA BENIN</t>
  </si>
  <si>
    <t xml:space="preserve">Benin </t>
  </si>
  <si>
    <t>BOABF</t>
  </si>
  <si>
    <t>BANK OF AFRICA BURKINA FASO</t>
  </si>
  <si>
    <t xml:space="preserve">Burkina Faso </t>
  </si>
  <si>
    <t>BOAC</t>
  </si>
  <si>
    <t>BANK OF AFRICA COTE D'IVOIRE</t>
  </si>
  <si>
    <t>BOAM</t>
  </si>
  <si>
    <t>BANK OF AFRICA MALI</t>
  </si>
  <si>
    <t xml:space="preserve">Mali </t>
  </si>
  <si>
    <t>BOAN</t>
  </si>
  <si>
    <t>BANK OF AFRICA NIGER</t>
  </si>
  <si>
    <t xml:space="preserve">Niger </t>
  </si>
  <si>
    <t>BOAS</t>
  </si>
  <si>
    <t>BANK OF AFRICA SENEGAL</t>
  </si>
  <si>
    <t xml:space="preserve">Senegal </t>
  </si>
  <si>
    <t>CABC</t>
  </si>
  <si>
    <t>SICABLE COTE D'IVOIRE</t>
  </si>
  <si>
    <t>CBIBF</t>
  </si>
  <si>
    <t>CORIS BANK INTERNATIONAL BURKINA FASO</t>
  </si>
  <si>
    <t>Burkina Faso</t>
  </si>
  <si>
    <t>CFAC</t>
  </si>
  <si>
    <t>CFAO MOTORS COTE D'IVOIRE</t>
  </si>
  <si>
    <t>CIEC</t>
  </si>
  <si>
    <t>CIE COTE D'IVOIRE</t>
  </si>
  <si>
    <t>ECOC</t>
  </si>
  <si>
    <t>ECOBANK COTE D'IVOIRE</t>
  </si>
  <si>
    <t>ETIT</t>
  </si>
  <si>
    <t>Ecobank Transnational Incorporated TOGO</t>
  </si>
  <si>
    <t>Togo</t>
  </si>
  <si>
    <t>FTSC</t>
  </si>
  <si>
    <t>FILTISAC COTE D'IVOIRE</t>
  </si>
  <si>
    <t>LNBB</t>
  </si>
  <si>
    <t>LOTERIE NATIONALE DU BENIN</t>
  </si>
  <si>
    <t>NEIC</t>
  </si>
  <si>
    <t>NEI-CEDA COTE D'IVOIRE</t>
  </si>
  <si>
    <t>NSBC</t>
  </si>
  <si>
    <t>NSIA BANQUE COTE D'IVOIRE</t>
  </si>
  <si>
    <t>NTLC</t>
  </si>
  <si>
    <t>NESTLE COTE D'IVOIRE</t>
  </si>
  <si>
    <t>ONTBF</t>
  </si>
  <si>
    <t>ONATEL BURKINA FASO</t>
  </si>
  <si>
    <t>ORAC</t>
  </si>
  <si>
    <t>ORANGE COTE D'IVOIRE</t>
  </si>
  <si>
    <t>ORGT</t>
  </si>
  <si>
    <t>ORAGROUP TOGO</t>
  </si>
  <si>
    <t>PALC</t>
  </si>
  <si>
    <t>PALM COTE D'IVOIRE</t>
  </si>
  <si>
    <t>PRSC</t>
  </si>
  <si>
    <t>TRACTAFRIC MOTORS COTE D'IVOIRE</t>
  </si>
  <si>
    <t>SAFC</t>
  </si>
  <si>
    <t>SAFCA COTE D'IVOIRE</t>
  </si>
  <si>
    <t>SCRC</t>
  </si>
  <si>
    <t>SUCRIVOIRE COTE D'IVOIRE</t>
  </si>
  <si>
    <t>SDCC</t>
  </si>
  <si>
    <t>SODE COTE D'IVOIRE</t>
  </si>
  <si>
    <t>SDSC</t>
  </si>
  <si>
    <t>AFRICA GLOBAL LOGISTICS COTE D'IVOIRE</t>
  </si>
  <si>
    <t>SEMC</t>
  </si>
  <si>
    <t>EVIOSYS PACKAGING SIEM COTE D'IVOIRE</t>
  </si>
  <si>
    <t>SGBC</t>
  </si>
  <si>
    <t>SOCIETE GENERALE COTE D'IVOIRE</t>
  </si>
  <si>
    <t>SHEC</t>
  </si>
  <si>
    <t>VIVO ENERGY COTE D'IVOIRE</t>
  </si>
  <si>
    <t>SIBC</t>
  </si>
  <si>
    <t>SOCIETE IVOIRIENNE DE BANQUE COTE D'IVOIRE</t>
  </si>
  <si>
    <t>SICC</t>
  </si>
  <si>
    <t>SICOR COTE D'IVOIRE</t>
  </si>
  <si>
    <t>SIVC</t>
  </si>
  <si>
    <t>ERIUM COTE D’IVOIRE</t>
  </si>
  <si>
    <t>SLBC</t>
  </si>
  <si>
    <t>SOLIBRA COTE D'IVOIRE</t>
  </si>
  <si>
    <t>SMBC</t>
  </si>
  <si>
    <t>SMB COTE D'IVOIRE</t>
  </si>
  <si>
    <t>SNTS</t>
  </si>
  <si>
    <t>SONATEL SENEGAL</t>
  </si>
  <si>
    <t>Senegal</t>
  </si>
  <si>
    <t>SOGC</t>
  </si>
  <si>
    <t>SOGB COTE D'IVOIRE</t>
  </si>
  <si>
    <t>SPHC</t>
  </si>
  <si>
    <t>SAPH COTE D'IVOIRE</t>
  </si>
  <si>
    <t>STAC</t>
  </si>
  <si>
    <t>SETAO COTE D'IVOIRE</t>
  </si>
  <si>
    <t>STBC</t>
  </si>
  <si>
    <t>SITAB COTE D'IVOIRE</t>
  </si>
  <si>
    <t>TTLC</t>
  </si>
  <si>
    <t>TOTALENERGIES MARKETING COTE D'IVOIRE</t>
  </si>
  <si>
    <t>TTLS</t>
  </si>
  <si>
    <t>TOTALENERGIES MARKETING SENEGAL</t>
  </si>
  <si>
    <t>UNLC</t>
  </si>
  <si>
    <t>UNILEVER COTE D'IVOIRE</t>
  </si>
  <si>
    <t>UNXC</t>
  </si>
  <si>
    <t>UNIWAX COTE D'IVOIRE</t>
  </si>
  <si>
    <t>20 440 338 946 984 FCFA</t>
  </si>
  <si>
    <t>Total capi</t>
  </si>
  <si>
    <t>Symbole</t>
  </si>
  <si>
    <t>Obligation</t>
  </si>
  <si>
    <t>Catégorie</t>
  </si>
  <si>
    <t>Pays</t>
  </si>
  <si>
    <t>BIDC.O4</t>
  </si>
  <si>
    <t>BIDC-EBID 6.10% 2017-2027</t>
  </si>
  <si>
    <t>Régionales</t>
  </si>
  <si>
    <t>BIDC.O5</t>
  </si>
  <si>
    <t>BIDC-EBID 6,40% 2019-2026</t>
  </si>
  <si>
    <t>BIDC.O6</t>
  </si>
  <si>
    <t>BIDC-EBID 6,50% 2021-2028</t>
  </si>
  <si>
    <t>BIDC.O7</t>
  </si>
  <si>
    <t>BIDC-EBID 5,90% 2022-2029</t>
  </si>
  <si>
    <t>BIDC.O8</t>
  </si>
  <si>
    <t>BIDC-EBID GSS BOND 6,50% 2024-2031</t>
  </si>
  <si>
    <t>CRRH.O10</t>
  </si>
  <si>
    <t>CRRH-UEMOA 6,10% 2022-2037</t>
  </si>
  <si>
    <t>CRRH.O11</t>
  </si>
  <si>
    <t>SOCIAL BOND CRRH-UEMOA 6,00% 2025-2040</t>
  </si>
  <si>
    <t>CRRH.O6</t>
  </si>
  <si>
    <t>CRRH-UEMOA 5.85% 2016-2026</t>
  </si>
  <si>
    <t>CRRH.O7</t>
  </si>
  <si>
    <t>CRRH-UEMOA 5.95% 2017-2029</t>
  </si>
  <si>
    <t>CRRH.O8</t>
  </si>
  <si>
    <t>CRRH-UEMOA 5.95% 2018-2030</t>
  </si>
  <si>
    <t>CRRH.O9</t>
  </si>
  <si>
    <t>CRRH-UEMOA 6.05% 2018-2033</t>
  </si>
  <si>
    <t>SUKSN.S2</t>
  </si>
  <si>
    <t>SUKUK SN 6% 2016-2026</t>
  </si>
  <si>
    <t>Sukuk</t>
  </si>
  <si>
    <t>SUKTG.S1</t>
  </si>
  <si>
    <t>SUKUK TG 6.5% 2016-2026</t>
  </si>
  <si>
    <t xml:space="preserve">Togo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</si>
</sst>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</cellXfs>
  <cellStyles count="1">
    <cellStyle name="Normal" xfId="0" builtinId="0"/>
  </cellStyles>
  <dxfs count="2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C5B16CF-93AC-42A9-BC5D-13336072E21E}" autoFormatId="16" applyNumberFormats="0" applyBorderFormats="0" applyFontFormats="0" applyPatternFormats="0" applyAlignmentFormats="0" applyWidthHeightFormats="0">
  <queryTableRefresh nextId="7">
    <queryTableFields count="6">
      <queryTableField id="1" name="Code obligation" tableColumnId="1"/>
      <queryTableField id="2" name="Nom" tableColumnId="2"/>
      <queryTableField id="3" name="Capitalisation flottante" tableColumnId="3"/>
      <queryTableField id="4" name="Capitalisation globale" tableColumnId="4"/>
      <queryTableField id="5" name="Capitalisation globale (%)" tableColumnId="5"/>
      <queryTableField id="6" name="Pays 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C0ACA7B4-75B4-41E7-AA61-7C4BBC684B8F}" autoFormatId="16" applyNumberFormats="0" applyBorderFormats="0" applyFontFormats="0" applyPatternFormats="0" applyAlignmentFormats="0" applyWidthHeightFormats="0">
  <queryTableRefresh nextId="5">
    <queryTableFields count="4">
      <queryTableField id="1" name="Symbole" tableColumnId="1"/>
      <queryTableField id="2" name="Obligation" tableColumnId="2"/>
      <queryTableField id="3" name="Catégorie" tableColumnId="3"/>
      <queryTableField id="4" name="Pay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F4EFB3DA-35E7-419F-9F52-284ED8561D3B}" autoFormatId="16" applyNumberFormats="0" applyBorderFormats="0" applyFontFormats="0" applyPatternFormats="0" applyAlignmentFormats="0" applyWidthHeightFormats="0">
  <queryTableRefresh nextId="5">
    <queryTableFields count="4">
      <queryTableField id="1" name="Symbole" tableColumnId="1"/>
      <queryTableField id="2" name="Obligation" tableColumnId="2"/>
      <queryTableField id="3" name="Catégorie" tableColumnId="3"/>
      <queryTableField id="4" name="Pay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6C071-D507-4D4F-8CB9-6E9F89DF59B2}" name="Capi" displayName="Capi" ref="A1:F49" tableType="queryTable" totalsRowShown="0" headerRowDxfId="25" headerRowBorderDxfId="24" tableBorderDxfId="23" totalsRowBorderDxfId="22">
  <autoFilter ref="A1:F49" xr:uid="{A836C071-D507-4D4F-8CB9-6E9F89DF59B2}"/>
  <tableColumns count="6">
    <tableColumn id="1" xr3:uid="{2D966A11-62B6-4635-B3DA-C51EE997114C}" uniqueName="1" name="Code obligation" queryTableFieldId="1" dataDxfId="21"/>
    <tableColumn id="2" xr3:uid="{3DE8F4C0-BD6F-4A10-B440-B8B1DB86F9A5}" uniqueName="2" name="Nom" queryTableFieldId="2" dataDxfId="20"/>
    <tableColumn id="3" xr3:uid="{DE80F4EF-536E-4482-9B4F-00D72355D84D}" uniqueName="3" name="Capitalisation flottante" queryTableFieldId="3" dataDxfId="19"/>
    <tableColumn id="4" xr3:uid="{FDF98B30-85BA-4C3B-822F-9833D65FF177}" uniqueName="4" name="Capitalisation globale" queryTableFieldId="4" dataDxfId="18"/>
    <tableColumn id="5" xr3:uid="{D62156E7-B875-4720-B5B2-6C59A57052C2}" uniqueName="5" name="Capitalisation globale (%)" queryTableFieldId="5" dataDxfId="17"/>
    <tableColumn id="6" xr3:uid="{08C564D3-C2A0-4C70-9375-6E3A9EBCB710}" uniqueName="6" name="Pays " queryTableFieldId="6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F7CC7D-5A00-47E8-81DC-20A940F3A31B}" name="obli_regionales" displayName="obli_regionales" ref="A1:D12" tableType="queryTable" totalsRowShown="0" headerRowDxfId="8" headerRowBorderDxfId="14" tableBorderDxfId="15" totalsRowBorderDxfId="13">
  <autoFilter ref="A1:D12" xr:uid="{39F7CC7D-5A00-47E8-81DC-20A940F3A31B}"/>
  <tableColumns count="4">
    <tableColumn id="1" xr3:uid="{27358DF7-B1D3-4344-8213-24124D9E27B0}" uniqueName="1" name="Symbole" queryTableFieldId="1" dataDxfId="12"/>
    <tableColumn id="2" xr3:uid="{99BC4915-394A-4F52-AFED-0F3E00E4780E}" uniqueName="2" name="Obligation" queryTableFieldId="2" dataDxfId="11"/>
    <tableColumn id="3" xr3:uid="{C7AC65A9-D5CB-4BD4-BB46-24F94292B876}" uniqueName="3" name="Catégorie" queryTableFieldId="3" dataDxfId="10"/>
    <tableColumn id="4" xr3:uid="{985E4EC0-5CAB-49A1-B723-8C899CB7A72E}" uniqueName="4" name="Pays" queryTableFieldId="4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3D39B8-691D-4428-8872-6388FCE7DC5E}" name="Sukuk" displayName="Sukuk" ref="A1:D3" tableType="queryTable" totalsRowShown="0" headerRowDxfId="0" headerRowBorderDxfId="6" tableBorderDxfId="7" totalsRowBorderDxfId="5">
  <autoFilter ref="A1:D3" xr:uid="{053D39B8-691D-4428-8872-6388FCE7DC5E}"/>
  <tableColumns count="4">
    <tableColumn id="1" xr3:uid="{EBD4DF99-13C4-4310-85A4-AB8957ED69A7}" uniqueName="1" name="Symbole" queryTableFieldId="1" dataDxfId="4"/>
    <tableColumn id="2" xr3:uid="{78B60EDB-B236-4B5C-A00A-A197832324F7}" uniqueName="2" name="Obligation" queryTableFieldId="2" dataDxfId="3"/>
    <tableColumn id="3" xr3:uid="{48D67500-D1CA-4B84-AA3B-EAD150A7B47F}" uniqueName="3" name="Catégorie" queryTableFieldId="3" dataDxfId="2"/>
    <tableColumn id="4" xr3:uid="{DF54AD13-A8FC-47FC-8485-35F6505B370D}" uniqueName="4" name="Pays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0F75-6F0E-4FFB-9E60-720A01117151}">
  <dimension ref="A1:F49"/>
  <sheetViews>
    <sheetView workbookViewId="0">
      <selection activeCell="A13" sqref="A13:XFD13"/>
    </sheetView>
  </sheetViews>
  <sheetFormatPr baseColWidth="10" defaultRowHeight="15" x14ac:dyDescent="0.25"/>
  <cols>
    <col min="1" max="1" width="18.5703125" bestFit="1" customWidth="1"/>
    <col min="2" max="2" width="66.140625" bestFit="1" customWidth="1"/>
    <col min="3" max="3" width="24.42578125" bestFit="1" customWidth="1"/>
    <col min="4" max="4" width="23" bestFit="1" customWidth="1"/>
    <col min="5" max="5" width="26.5703125" bestFit="1" customWidth="1"/>
    <col min="6" max="6" width="13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 t="s">
        <v>6</v>
      </c>
      <c r="B2" s="1" t="s">
        <v>7</v>
      </c>
      <c r="C2" s="1">
        <v>7856568000</v>
      </c>
      <c r="D2" s="1">
        <v>39283200000</v>
      </c>
      <c r="E2" s="1">
        <v>0.19</v>
      </c>
      <c r="F2" s="6" t="s">
        <v>8</v>
      </c>
    </row>
    <row r="3" spans="1:6" x14ac:dyDescent="0.25">
      <c r="A3" s="5" t="s">
        <v>9</v>
      </c>
      <c r="B3" s="1" t="s">
        <v>10</v>
      </c>
      <c r="C3" s="1">
        <v>0</v>
      </c>
      <c r="D3" s="1">
        <v>490669501000</v>
      </c>
      <c r="E3" s="1">
        <v>2.4</v>
      </c>
      <c r="F3" s="6" t="s">
        <v>11</v>
      </c>
    </row>
    <row r="4" spans="1:6" x14ac:dyDescent="0.25">
      <c r="A4" s="5" t="s">
        <v>12</v>
      </c>
      <c r="B4" s="1" t="s">
        <v>13</v>
      </c>
      <c r="C4" s="1">
        <v>154979396000</v>
      </c>
      <c r="D4" s="1">
        <v>476666762000</v>
      </c>
      <c r="E4" s="1">
        <v>2.33</v>
      </c>
      <c r="F4" s="6" t="s">
        <v>8</v>
      </c>
    </row>
    <row r="5" spans="1:6" x14ac:dyDescent="0.25">
      <c r="A5" s="5" t="s">
        <v>14</v>
      </c>
      <c r="B5" s="1" t="s">
        <v>15</v>
      </c>
      <c r="C5" s="1">
        <v>4603029200</v>
      </c>
      <c r="D5" s="1">
        <v>13181760000</v>
      </c>
      <c r="E5" s="1">
        <v>0.06</v>
      </c>
      <c r="F5" s="6" t="s">
        <v>8</v>
      </c>
    </row>
    <row r="6" spans="1:6" x14ac:dyDescent="0.25">
      <c r="A6" s="5" t="s">
        <v>16</v>
      </c>
      <c r="B6" s="1" t="s">
        <v>17</v>
      </c>
      <c r="C6" s="1">
        <v>91626481800</v>
      </c>
      <c r="D6" s="1">
        <v>405204869520</v>
      </c>
      <c r="E6" s="1">
        <v>1.98</v>
      </c>
      <c r="F6" s="6" t="s">
        <v>18</v>
      </c>
    </row>
    <row r="7" spans="1:6" x14ac:dyDescent="0.25">
      <c r="A7" s="5" t="s">
        <v>19</v>
      </c>
      <c r="B7" s="1" t="s">
        <v>20</v>
      </c>
      <c r="C7" s="1">
        <v>51223024000</v>
      </c>
      <c r="D7" s="1">
        <v>352000000000</v>
      </c>
      <c r="E7" s="1">
        <v>1.72</v>
      </c>
      <c r="F7" s="6" t="s">
        <v>21</v>
      </c>
    </row>
    <row r="8" spans="1:6" x14ac:dyDescent="0.25">
      <c r="A8" s="5" t="s">
        <v>22</v>
      </c>
      <c r="B8" s="1" t="s">
        <v>23</v>
      </c>
      <c r="C8" s="1">
        <v>71747838400</v>
      </c>
      <c r="D8" s="1">
        <v>519400000000</v>
      </c>
      <c r="E8" s="1">
        <v>2.54</v>
      </c>
      <c r="F8" s="6" t="s">
        <v>8</v>
      </c>
    </row>
    <row r="9" spans="1:6" x14ac:dyDescent="0.25">
      <c r="A9" s="5" t="s">
        <v>24</v>
      </c>
      <c r="B9" s="1" t="s">
        <v>25</v>
      </c>
      <c r="C9" s="1">
        <v>21702835500</v>
      </c>
      <c r="D9" s="1">
        <v>179797500000</v>
      </c>
      <c r="E9" s="1">
        <v>0.88</v>
      </c>
      <c r="F9" s="6" t="s">
        <v>26</v>
      </c>
    </row>
    <row r="10" spans="1:6" x14ac:dyDescent="0.25">
      <c r="A10" s="5" t="s">
        <v>27</v>
      </c>
      <c r="B10" s="1" t="s">
        <v>28</v>
      </c>
      <c r="C10" s="1">
        <v>28157246200</v>
      </c>
      <c r="D10" s="1">
        <v>111176000000</v>
      </c>
      <c r="E10" s="1">
        <v>0.54</v>
      </c>
      <c r="F10" s="6" t="s">
        <v>29</v>
      </c>
    </row>
    <row r="11" spans="1:6" x14ac:dyDescent="0.25">
      <c r="A11" s="5" t="s">
        <v>30</v>
      </c>
      <c r="B11" s="1" t="s">
        <v>31</v>
      </c>
      <c r="C11" s="1">
        <v>61368980000</v>
      </c>
      <c r="D11" s="1">
        <v>306000000000</v>
      </c>
      <c r="E11" s="1">
        <v>1.5</v>
      </c>
      <c r="F11" s="6" t="s">
        <v>32</v>
      </c>
    </row>
    <row r="12" spans="1:6" x14ac:dyDescent="0.25">
      <c r="A12" s="5" t="s">
        <v>33</v>
      </c>
      <c r="B12" s="1" t="s">
        <v>34</v>
      </c>
      <c r="C12" s="1">
        <v>10435736000</v>
      </c>
      <c r="D12" s="1">
        <v>21430400000</v>
      </c>
      <c r="E12" s="1">
        <v>0.1</v>
      </c>
      <c r="F12" s="6" t="s">
        <v>8</v>
      </c>
    </row>
    <row r="13" spans="1:6" x14ac:dyDescent="0.25">
      <c r="A13" s="5" t="s">
        <v>35</v>
      </c>
      <c r="B13" s="1" t="s">
        <v>36</v>
      </c>
      <c r="C13" s="1">
        <v>185600000000</v>
      </c>
      <c r="D13" s="1">
        <v>928000000000</v>
      </c>
      <c r="E13" s="1">
        <v>4.54</v>
      </c>
      <c r="F13" s="6" t="s">
        <v>37</v>
      </c>
    </row>
    <row r="14" spans="1:6" x14ac:dyDescent="0.25">
      <c r="A14" s="5" t="s">
        <v>38</v>
      </c>
      <c r="B14" s="1" t="s">
        <v>39</v>
      </c>
      <c r="C14" s="1">
        <v>13190727500</v>
      </c>
      <c r="D14" s="1">
        <v>320121403500</v>
      </c>
      <c r="E14" s="1">
        <v>1.57</v>
      </c>
      <c r="F14" s="6" t="s">
        <v>8</v>
      </c>
    </row>
    <row r="15" spans="1:6" x14ac:dyDescent="0.25">
      <c r="A15" s="5" t="s">
        <v>40</v>
      </c>
      <c r="B15" s="1" t="s">
        <v>41</v>
      </c>
      <c r="C15" s="1">
        <v>120800415600</v>
      </c>
      <c r="D15" s="1">
        <v>390320000000</v>
      </c>
      <c r="E15" s="1">
        <v>1.91</v>
      </c>
      <c r="F15" s="6" t="s">
        <v>8</v>
      </c>
    </row>
    <row r="16" spans="1:6" x14ac:dyDescent="0.25">
      <c r="A16" s="5" t="s">
        <v>42</v>
      </c>
      <c r="B16" s="1" t="s">
        <v>43</v>
      </c>
      <c r="C16" s="1">
        <v>189337500000</v>
      </c>
      <c r="D16" s="1">
        <v>926501598000</v>
      </c>
      <c r="E16" s="1">
        <v>4.53</v>
      </c>
      <c r="F16" s="6" t="s">
        <v>8</v>
      </c>
    </row>
    <row r="17" spans="1:6" x14ac:dyDescent="0.25">
      <c r="A17" s="5" t="s">
        <v>44</v>
      </c>
      <c r="B17" s="1" t="s">
        <v>45</v>
      </c>
      <c r="C17" s="1">
        <v>51780973718</v>
      </c>
      <c r="D17" s="1">
        <v>1211635150374</v>
      </c>
      <c r="E17" s="1">
        <v>5.93</v>
      </c>
      <c r="F17" s="6" t="s">
        <v>46</v>
      </c>
    </row>
    <row r="18" spans="1:6" x14ac:dyDescent="0.25">
      <c r="A18" s="5" t="s">
        <v>47</v>
      </c>
      <c r="B18" s="1" t="s">
        <v>48</v>
      </c>
      <c r="C18" s="1">
        <v>10151397000</v>
      </c>
      <c r="D18" s="1">
        <v>30323041000</v>
      </c>
      <c r="E18" s="1">
        <v>0.15</v>
      </c>
      <c r="F18" s="6" t="s">
        <v>8</v>
      </c>
    </row>
    <row r="19" spans="1:6" x14ac:dyDescent="0.25">
      <c r="A19" s="5" t="s">
        <v>49</v>
      </c>
      <c r="B19" s="1" t="s">
        <v>50</v>
      </c>
      <c r="C19" s="1">
        <v>0</v>
      </c>
      <c r="D19" s="1">
        <v>81500000000</v>
      </c>
      <c r="E19" s="1">
        <v>0.4</v>
      </c>
      <c r="F19" s="6" t="s">
        <v>11</v>
      </c>
    </row>
    <row r="20" spans="1:6" x14ac:dyDescent="0.25">
      <c r="A20" s="5" t="s">
        <v>51</v>
      </c>
      <c r="B20" s="1" t="s">
        <v>52</v>
      </c>
      <c r="C20" s="1">
        <v>5741437500</v>
      </c>
      <c r="D20" s="1">
        <v>31914562500</v>
      </c>
      <c r="E20" s="1">
        <v>0.16</v>
      </c>
      <c r="F20" s="6" t="s">
        <v>8</v>
      </c>
    </row>
    <row r="21" spans="1:6" x14ac:dyDescent="0.25">
      <c r="A21" s="5" t="s">
        <v>53</v>
      </c>
      <c r="B21" s="1" t="s">
        <v>54</v>
      </c>
      <c r="C21" s="1">
        <v>105680576400</v>
      </c>
      <c r="D21" s="1">
        <v>563948241600</v>
      </c>
      <c r="E21" s="1">
        <v>2.76</v>
      </c>
      <c r="F21" s="6" t="s">
        <v>8</v>
      </c>
    </row>
    <row r="22" spans="1:6" x14ac:dyDescent="0.25">
      <c r="A22" s="5" t="s">
        <v>55</v>
      </c>
      <c r="B22" s="1" t="s">
        <v>56</v>
      </c>
      <c r="C22" s="1">
        <v>74747686000</v>
      </c>
      <c r="D22" s="1">
        <v>372989760000</v>
      </c>
      <c r="E22" s="1">
        <v>1.82</v>
      </c>
      <c r="F22" s="6" t="s">
        <v>8</v>
      </c>
    </row>
    <row r="23" spans="1:6" x14ac:dyDescent="0.25">
      <c r="A23" s="5" t="s">
        <v>57</v>
      </c>
      <c r="B23" s="1" t="s">
        <v>58</v>
      </c>
      <c r="C23" s="1">
        <v>45199600000</v>
      </c>
      <c r="D23" s="1">
        <v>196520000000</v>
      </c>
      <c r="E23" s="1">
        <v>0.96</v>
      </c>
      <c r="F23" s="6" t="s">
        <v>8</v>
      </c>
    </row>
    <row r="24" spans="1:6" x14ac:dyDescent="0.25">
      <c r="A24" s="5" t="s">
        <v>59</v>
      </c>
      <c r="B24" s="1" t="s">
        <v>60</v>
      </c>
      <c r="C24" s="1">
        <v>638778684000</v>
      </c>
      <c r="D24" s="1">
        <v>3193893420000</v>
      </c>
      <c r="E24" s="1">
        <v>15.63</v>
      </c>
      <c r="F24" s="6" t="s">
        <v>8</v>
      </c>
    </row>
    <row r="25" spans="1:6" x14ac:dyDescent="0.25">
      <c r="A25" s="5" t="s">
        <v>61</v>
      </c>
      <c r="B25" s="1" t="s">
        <v>62</v>
      </c>
      <c r="C25" s="1">
        <v>44286792330</v>
      </c>
      <c r="D25" s="1">
        <v>221433948890</v>
      </c>
      <c r="E25" s="1">
        <v>1.08</v>
      </c>
      <c r="F25" s="6" t="s">
        <v>46</v>
      </c>
    </row>
    <row r="26" spans="1:6" x14ac:dyDescent="0.25">
      <c r="A26" s="5" t="s">
        <v>63</v>
      </c>
      <c r="B26" s="1" t="s">
        <v>64</v>
      </c>
      <c r="C26" s="1">
        <v>48312345000</v>
      </c>
      <c r="D26" s="1">
        <v>146863502000</v>
      </c>
      <c r="E26" s="1">
        <v>0.72</v>
      </c>
      <c r="F26" s="6" t="s">
        <v>8</v>
      </c>
    </row>
    <row r="27" spans="1:6" x14ac:dyDescent="0.25">
      <c r="A27" s="5" t="s">
        <v>65</v>
      </c>
      <c r="B27" s="1" t="s">
        <v>66</v>
      </c>
      <c r="C27" s="1">
        <v>12538028160</v>
      </c>
      <c r="D27" s="1">
        <v>45772800000</v>
      </c>
      <c r="E27" s="1">
        <v>0.22</v>
      </c>
      <c r="F27" s="6" t="s">
        <v>8</v>
      </c>
    </row>
    <row r="28" spans="1:6" x14ac:dyDescent="0.25">
      <c r="A28" s="5" t="s">
        <v>67</v>
      </c>
      <c r="B28" s="1" t="s">
        <v>68</v>
      </c>
      <c r="C28" s="1">
        <v>13859970000</v>
      </c>
      <c r="D28" s="1">
        <v>68844550000</v>
      </c>
      <c r="E28" s="1">
        <v>0.34</v>
      </c>
      <c r="F28" s="6" t="s">
        <v>8</v>
      </c>
    </row>
    <row r="29" spans="1:6" x14ac:dyDescent="0.25">
      <c r="A29" s="5" t="s">
        <v>69</v>
      </c>
      <c r="B29" s="1" t="s">
        <v>70</v>
      </c>
      <c r="C29" s="1">
        <v>15146880000</v>
      </c>
      <c r="D29" s="1">
        <v>65856000000</v>
      </c>
      <c r="E29" s="1">
        <v>0.32</v>
      </c>
      <c r="F29" s="6" t="s">
        <v>8</v>
      </c>
    </row>
    <row r="30" spans="1:6" x14ac:dyDescent="0.25">
      <c r="A30" s="5" t="s">
        <v>71</v>
      </c>
      <c r="B30" s="1" t="s">
        <v>72</v>
      </c>
      <c r="C30" s="1">
        <v>53496960000</v>
      </c>
      <c r="D30" s="1">
        <v>108000000000</v>
      </c>
      <c r="E30" s="1">
        <v>0.53</v>
      </c>
      <c r="F30" s="6" t="s">
        <v>8</v>
      </c>
    </row>
    <row r="31" spans="1:6" x14ac:dyDescent="0.25">
      <c r="A31" s="5" t="s">
        <v>73</v>
      </c>
      <c r="B31" s="1" t="s">
        <v>74</v>
      </c>
      <c r="C31" s="1">
        <v>32633415000</v>
      </c>
      <c r="D31" s="1">
        <v>146975310000</v>
      </c>
      <c r="E31" s="1">
        <v>0.72</v>
      </c>
      <c r="F31" s="6" t="s">
        <v>8</v>
      </c>
    </row>
    <row r="32" spans="1:6" x14ac:dyDescent="0.25">
      <c r="A32" s="5" t="s">
        <v>75</v>
      </c>
      <c r="B32" s="1" t="s">
        <v>76</v>
      </c>
      <c r="C32" s="1">
        <v>4066704000</v>
      </c>
      <c r="D32" s="1">
        <v>39043880000</v>
      </c>
      <c r="E32" s="1">
        <v>0.19</v>
      </c>
      <c r="F32" s="6" t="s">
        <v>8</v>
      </c>
    </row>
    <row r="33" spans="1:6" x14ac:dyDescent="0.25">
      <c r="A33" s="5" t="s">
        <v>77</v>
      </c>
      <c r="B33" s="1" t="s">
        <v>78</v>
      </c>
      <c r="C33" s="1">
        <v>525804729600</v>
      </c>
      <c r="D33" s="1">
        <v>1212866623350</v>
      </c>
      <c r="E33" s="1">
        <v>5.93</v>
      </c>
      <c r="F33" s="6" t="s">
        <v>8</v>
      </c>
    </row>
    <row r="34" spans="1:6" x14ac:dyDescent="0.25">
      <c r="A34" s="5" t="s">
        <v>79</v>
      </c>
      <c r="B34" s="1" t="s">
        <v>80</v>
      </c>
      <c r="C34" s="1">
        <v>44268000000</v>
      </c>
      <c r="D34" s="1">
        <v>156240000000</v>
      </c>
      <c r="E34" s="1">
        <v>0.76</v>
      </c>
      <c r="F34" s="6" t="s">
        <v>8</v>
      </c>
    </row>
    <row r="35" spans="1:6" x14ac:dyDescent="0.25">
      <c r="A35" s="5" t="s">
        <v>81</v>
      </c>
      <c r="B35" s="1" t="s">
        <v>82</v>
      </c>
      <c r="C35" s="1">
        <v>91000000000</v>
      </c>
      <c r="D35" s="1">
        <v>910000000000</v>
      </c>
      <c r="E35" s="1">
        <v>4.45</v>
      </c>
      <c r="F35" s="6" t="s">
        <v>8</v>
      </c>
    </row>
    <row r="36" spans="1:6" x14ac:dyDescent="0.25">
      <c r="A36" s="5" t="s">
        <v>83</v>
      </c>
      <c r="B36" s="1" t="s">
        <v>84</v>
      </c>
      <c r="C36" s="1">
        <v>603304830</v>
      </c>
      <c r="D36" s="1">
        <v>4803000000</v>
      </c>
      <c r="E36" s="1">
        <v>0.02</v>
      </c>
      <c r="F36" s="6" t="s">
        <v>8</v>
      </c>
    </row>
    <row r="37" spans="1:6" x14ac:dyDescent="0.25">
      <c r="A37" s="5" t="s">
        <v>85</v>
      </c>
      <c r="B37" s="1" t="s">
        <v>86</v>
      </c>
      <c r="C37" s="1">
        <v>5803868000</v>
      </c>
      <c r="D37" s="1">
        <v>20786920000</v>
      </c>
      <c r="E37" s="1">
        <v>0.1</v>
      </c>
      <c r="F37" s="6" t="s">
        <v>8</v>
      </c>
    </row>
    <row r="38" spans="1:6" x14ac:dyDescent="0.25">
      <c r="A38" s="5" t="s">
        <v>87</v>
      </c>
      <c r="B38" s="1" t="s">
        <v>88</v>
      </c>
      <c r="C38" s="1">
        <v>11498711200</v>
      </c>
      <c r="D38" s="1">
        <v>618104542000</v>
      </c>
      <c r="E38" s="1">
        <v>3.02</v>
      </c>
      <c r="F38" s="6" t="s">
        <v>8</v>
      </c>
    </row>
    <row r="39" spans="1:6" x14ac:dyDescent="0.25">
      <c r="A39" s="5" t="s">
        <v>89</v>
      </c>
      <c r="B39" s="1" t="s">
        <v>90</v>
      </c>
      <c r="C39" s="1">
        <v>21614208000</v>
      </c>
      <c r="D39" s="1">
        <v>130959360000</v>
      </c>
      <c r="E39" s="1">
        <v>0.64</v>
      </c>
      <c r="F39" s="6" t="s">
        <v>8</v>
      </c>
    </row>
    <row r="40" spans="1:6" x14ac:dyDescent="0.25">
      <c r="A40" s="5" t="s">
        <v>91</v>
      </c>
      <c r="B40" s="1" t="s">
        <v>92</v>
      </c>
      <c r="C40" s="1">
        <v>798971714000</v>
      </c>
      <c r="D40" s="1">
        <v>3650000000000</v>
      </c>
      <c r="E40" s="1">
        <v>17.86</v>
      </c>
      <c r="F40" s="6" t="s">
        <v>93</v>
      </c>
    </row>
    <row r="41" spans="1:6" x14ac:dyDescent="0.25">
      <c r="A41" s="5" t="s">
        <v>94</v>
      </c>
      <c r="B41" s="1" t="s">
        <v>95</v>
      </c>
      <c r="C41" s="1">
        <v>47832427500</v>
      </c>
      <c r="D41" s="1">
        <v>178215180000</v>
      </c>
      <c r="E41" s="1">
        <v>0.87</v>
      </c>
      <c r="F41" s="6" t="s">
        <v>8</v>
      </c>
    </row>
    <row r="42" spans="1:6" x14ac:dyDescent="0.25">
      <c r="A42" s="5" t="s">
        <v>96</v>
      </c>
      <c r="B42" s="1" t="s">
        <v>97</v>
      </c>
      <c r="C42" s="1">
        <v>55648277500</v>
      </c>
      <c r="D42" s="1">
        <v>236411546250</v>
      </c>
      <c r="E42" s="1">
        <v>1.1599999999999999</v>
      </c>
      <c r="F42" s="6" t="s">
        <v>8</v>
      </c>
    </row>
    <row r="43" spans="1:6" x14ac:dyDescent="0.25">
      <c r="A43" s="5" t="s">
        <v>98</v>
      </c>
      <c r="B43" s="1" t="s">
        <v>99</v>
      </c>
      <c r="C43" s="1">
        <v>7266000000</v>
      </c>
      <c r="D43" s="1">
        <v>34876800000</v>
      </c>
      <c r="E43" s="1">
        <v>0.17</v>
      </c>
      <c r="F43" s="6" t="s">
        <v>8</v>
      </c>
    </row>
    <row r="44" spans="1:6" x14ac:dyDescent="0.25">
      <c r="A44" s="5" t="s">
        <v>100</v>
      </c>
      <c r="B44" s="1" t="s">
        <v>101</v>
      </c>
      <c r="C44" s="1">
        <v>110811726000</v>
      </c>
      <c r="D44" s="1">
        <v>411169500000</v>
      </c>
      <c r="E44" s="1">
        <v>2.0099999999999998</v>
      </c>
      <c r="F44" s="6" t="s">
        <v>8</v>
      </c>
    </row>
    <row r="45" spans="1:6" x14ac:dyDescent="0.25">
      <c r="A45" s="5" t="s">
        <v>102</v>
      </c>
      <c r="B45" s="1" t="s">
        <v>103</v>
      </c>
      <c r="C45" s="1">
        <v>57822440000</v>
      </c>
      <c r="D45" s="1">
        <v>214069440000</v>
      </c>
      <c r="E45" s="1">
        <v>1.05</v>
      </c>
      <c r="F45" s="6" t="s">
        <v>8</v>
      </c>
    </row>
    <row r="46" spans="1:6" x14ac:dyDescent="0.25">
      <c r="A46" s="5" t="s">
        <v>104</v>
      </c>
      <c r="B46" s="1" t="s">
        <v>105</v>
      </c>
      <c r="C46" s="1">
        <v>38704050000</v>
      </c>
      <c r="D46" s="1">
        <v>125424145000</v>
      </c>
      <c r="E46" s="1">
        <v>0.61</v>
      </c>
      <c r="F46" s="6" t="s">
        <v>93</v>
      </c>
    </row>
    <row r="47" spans="1:6" x14ac:dyDescent="0.25">
      <c r="A47" s="5" t="s">
        <v>106</v>
      </c>
      <c r="B47" s="1" t="s">
        <v>107</v>
      </c>
      <c r="C47" s="1">
        <v>7978561200</v>
      </c>
      <c r="D47" s="1">
        <v>479373480000</v>
      </c>
      <c r="E47" s="1">
        <v>2.35</v>
      </c>
      <c r="F47" s="6" t="s">
        <v>8</v>
      </c>
    </row>
    <row r="48" spans="1:6" x14ac:dyDescent="0.25">
      <c r="A48" s="5" t="s">
        <v>108</v>
      </c>
      <c r="B48" s="1" t="s">
        <v>109</v>
      </c>
      <c r="C48" s="1">
        <v>14346250000</v>
      </c>
      <c r="D48" s="1">
        <v>51771250000</v>
      </c>
      <c r="E48" s="1">
        <v>0.25</v>
      </c>
      <c r="F48" s="6" t="s">
        <v>8</v>
      </c>
    </row>
    <row r="49" spans="1:6" x14ac:dyDescent="0.25">
      <c r="A49" s="7" t="s">
        <v>111</v>
      </c>
      <c r="B49" s="8" t="s">
        <v>110</v>
      </c>
      <c r="C49" s="8">
        <f>SUM(C2:C48)</f>
        <v>4009025495138</v>
      </c>
      <c r="D49" s="8">
        <f>SUM(D2:D48)</f>
        <v>20440338946984</v>
      </c>
      <c r="E49" s="8">
        <f>SUM(E2:E48)</f>
        <v>99.969999999999985</v>
      </c>
      <c r="F49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FE44-90DD-4E80-B6CC-9D68FE9A35A5}">
  <dimension ref="A1:D12"/>
  <sheetViews>
    <sheetView workbookViewId="0">
      <selection activeCell="A21" sqref="A21:D21"/>
    </sheetView>
  </sheetViews>
  <sheetFormatPr baseColWidth="10" defaultRowHeight="15" x14ac:dyDescent="0.25"/>
  <cols>
    <col min="1" max="1" width="11.140625" bestFit="1" customWidth="1"/>
    <col min="2" max="2" width="40.5703125" bestFit="1" customWidth="1"/>
    <col min="3" max="3" width="12.140625" bestFit="1" customWidth="1"/>
    <col min="4" max="4" width="7.42578125" bestFit="1" customWidth="1"/>
  </cols>
  <sheetData>
    <row r="1" spans="1:4" x14ac:dyDescent="0.25">
      <c r="A1" s="2" t="s">
        <v>112</v>
      </c>
      <c r="B1" s="3" t="s">
        <v>113</v>
      </c>
      <c r="C1" s="3" t="s">
        <v>114</v>
      </c>
      <c r="D1" s="4" t="s">
        <v>115</v>
      </c>
    </row>
    <row r="2" spans="1:4" x14ac:dyDescent="0.25">
      <c r="A2" s="10" t="s">
        <v>116</v>
      </c>
      <c r="B2" s="11" t="s">
        <v>117</v>
      </c>
      <c r="C2" s="11" t="s">
        <v>118</v>
      </c>
      <c r="D2" s="12" t="s">
        <v>46</v>
      </c>
    </row>
    <row r="3" spans="1:4" x14ac:dyDescent="0.25">
      <c r="A3" s="10" t="s">
        <v>119</v>
      </c>
      <c r="B3" s="11" t="s">
        <v>120</v>
      </c>
      <c r="C3" s="11" t="s">
        <v>118</v>
      </c>
      <c r="D3" s="12" t="s">
        <v>46</v>
      </c>
    </row>
    <row r="4" spans="1:4" x14ac:dyDescent="0.25">
      <c r="A4" s="10" t="s">
        <v>121</v>
      </c>
      <c r="B4" s="11" t="s">
        <v>122</v>
      </c>
      <c r="C4" s="11" t="s">
        <v>118</v>
      </c>
      <c r="D4" s="12" t="s">
        <v>46</v>
      </c>
    </row>
    <row r="5" spans="1:4" x14ac:dyDescent="0.25">
      <c r="A5" s="10" t="s">
        <v>123</v>
      </c>
      <c r="B5" s="11" t="s">
        <v>124</v>
      </c>
      <c r="C5" s="11" t="s">
        <v>118</v>
      </c>
      <c r="D5" s="12" t="s">
        <v>46</v>
      </c>
    </row>
    <row r="6" spans="1:4" x14ac:dyDescent="0.25">
      <c r="A6" s="10" t="s">
        <v>125</v>
      </c>
      <c r="B6" s="11" t="s">
        <v>126</v>
      </c>
      <c r="C6" s="11" t="s">
        <v>118</v>
      </c>
      <c r="D6" s="12" t="s">
        <v>46</v>
      </c>
    </row>
    <row r="7" spans="1:4" x14ac:dyDescent="0.25">
      <c r="A7" s="10" t="s">
        <v>127</v>
      </c>
      <c r="B7" s="11" t="s">
        <v>128</v>
      </c>
      <c r="C7" s="11" t="s">
        <v>118</v>
      </c>
      <c r="D7" s="12" t="s">
        <v>46</v>
      </c>
    </row>
    <row r="8" spans="1:4" x14ac:dyDescent="0.25">
      <c r="A8" s="10" t="s">
        <v>129</v>
      </c>
      <c r="B8" s="11" t="s">
        <v>130</v>
      </c>
      <c r="C8" s="11" t="s">
        <v>118</v>
      </c>
      <c r="D8" s="12" t="s">
        <v>46</v>
      </c>
    </row>
    <row r="9" spans="1:4" x14ac:dyDescent="0.25">
      <c r="A9" s="10" t="s">
        <v>131</v>
      </c>
      <c r="B9" s="11" t="s">
        <v>132</v>
      </c>
      <c r="C9" s="11" t="s">
        <v>118</v>
      </c>
      <c r="D9" s="12" t="s">
        <v>46</v>
      </c>
    </row>
    <row r="10" spans="1:4" x14ac:dyDescent="0.25">
      <c r="A10" s="10" t="s">
        <v>133</v>
      </c>
      <c r="B10" s="11" t="s">
        <v>134</v>
      </c>
      <c r="C10" s="11" t="s">
        <v>118</v>
      </c>
      <c r="D10" s="12" t="s">
        <v>46</v>
      </c>
    </row>
    <row r="11" spans="1:4" x14ac:dyDescent="0.25">
      <c r="A11" s="10" t="s">
        <v>135</v>
      </c>
      <c r="B11" s="11" t="s">
        <v>136</v>
      </c>
      <c r="C11" s="11" t="s">
        <v>118</v>
      </c>
      <c r="D11" s="12" t="s">
        <v>46</v>
      </c>
    </row>
    <row r="12" spans="1:4" x14ac:dyDescent="0.25">
      <c r="A12" s="13" t="s">
        <v>137</v>
      </c>
      <c r="B12" s="14" t="s">
        <v>138</v>
      </c>
      <c r="C12" s="14" t="s">
        <v>118</v>
      </c>
      <c r="D12" s="15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A9DD-125F-4307-8DFD-1840FB52375A}">
  <dimension ref="A1:D3"/>
  <sheetViews>
    <sheetView tabSelected="1" workbookViewId="0">
      <selection activeCell="E9" sqref="E9"/>
    </sheetView>
  </sheetViews>
  <sheetFormatPr baseColWidth="10" defaultRowHeight="15" x14ac:dyDescent="0.25"/>
  <cols>
    <col min="1" max="1" width="11.140625" bestFit="1" customWidth="1"/>
    <col min="2" max="2" width="23.5703125" bestFit="1" customWidth="1"/>
    <col min="3" max="3" width="12.140625" bestFit="1" customWidth="1"/>
    <col min="4" max="4" width="7.42578125" bestFit="1" customWidth="1"/>
  </cols>
  <sheetData>
    <row r="1" spans="1:4" x14ac:dyDescent="0.25">
      <c r="A1" s="2" t="s">
        <v>112</v>
      </c>
      <c r="B1" s="3" t="s">
        <v>113</v>
      </c>
      <c r="C1" s="3" t="s">
        <v>114</v>
      </c>
      <c r="D1" s="4" t="s">
        <v>115</v>
      </c>
    </row>
    <row r="2" spans="1:4" x14ac:dyDescent="0.25">
      <c r="A2" s="10" t="s">
        <v>139</v>
      </c>
      <c r="B2" s="11" t="s">
        <v>140</v>
      </c>
      <c r="C2" s="11" t="s">
        <v>141</v>
      </c>
      <c r="D2" s="12" t="s">
        <v>46</v>
      </c>
    </row>
    <row r="3" spans="1:4" x14ac:dyDescent="0.25">
      <c r="A3" s="13" t="s">
        <v>142</v>
      </c>
      <c r="B3" s="14" t="s">
        <v>143</v>
      </c>
      <c r="C3" s="14" t="s">
        <v>141</v>
      </c>
      <c r="D3" s="15" t="s">
        <v>144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4470-EAFA-4B0A-AC14-4F61B8D4D88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1816F7-5BDD-4D9B-94E1-342FD43415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 4</vt:lpstr>
      <vt:lpstr>obli regionales</vt:lpstr>
      <vt:lpstr>Sukuk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Abou SAMBA</dc:creator>
  <cp:lastModifiedBy>Abraham Abou SAMBA</cp:lastModifiedBy>
  <dcterms:created xsi:type="dcterms:W3CDTF">2026-08-26T08:49:12Z</dcterms:created>
  <dcterms:modified xsi:type="dcterms:W3CDTF">2026-08-26T11:21:20Z</dcterms:modified>
</cp:coreProperties>
</file>